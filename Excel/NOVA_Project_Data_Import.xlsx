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Excel\"/>
    </mc:Choice>
  </mc:AlternateContent>
  <xr:revisionPtr revIDLastSave="0" documentId="13_ncr:1_{0C155855-BB53-4AB8-A4CE-DAFB67382E4A}" xr6:coauthVersionLast="47" xr6:coauthVersionMax="47" xr10:uidLastSave="{00000000-0000-0000-0000-000000000000}"/>
  <bookViews>
    <workbookView xWindow="-120" yWindow="-120" windowWidth="25200" windowHeight="14250" tabRatio="839" activeTab="3" xr2:uid="{00000000-000D-0000-FFFF-FFFF00000000}"/>
  </bookViews>
  <sheets>
    <sheet name="10. Land Data" sheetId="1" r:id="rId1"/>
    <sheet name="20. Parcel Owners" sheetId="9" r:id="rId2"/>
    <sheet name="40. Agreement Data" sheetId="3" r:id="rId3"/>
    <sheet name="50. Agreement Parcels" sheetId="13" r:id="rId4"/>
    <sheet name="60. Agreement Terms" sheetId="15" r:id="rId5"/>
    <sheet name="80. Agreement Contacts" sheetId="2" r:id="rId6"/>
    <sheet name="160. Agreement Milestone Dates" sheetId="16" r:id="rId7"/>
    <sheet name="60. Payment History" sheetId="17" r:id="rId8"/>
    <sheet name="06. Payment History" sheetId="7" state="hidden" r:id="rId9"/>
    <sheet name="Index" sheetId="12" r:id="rId10"/>
    <sheet name="Lists" sheetId="14" r:id="rId11"/>
  </sheets>
  <externalReferences>
    <externalReference r:id="rId12"/>
    <externalReference r:id="rId13"/>
  </externalReferences>
  <definedNames>
    <definedName name="_xlnm._FilterDatabase" localSheetId="0" hidden="1">'10. Land Data'!$B$2:$X$95</definedName>
    <definedName name="_xlnm._FilterDatabase" localSheetId="1" hidden="1">'20. Parcel Owners'!$B$2:$V$2</definedName>
    <definedName name="_xlnm._FilterDatabase" localSheetId="2" hidden="1">'40. Agreement Data'!$D$2:$E$2</definedName>
    <definedName name="Acquisition_Priority">OFFSET(Lists!$G$2,0,0,COUNTA(Lists!$G:$G)-1,1)</definedName>
    <definedName name="Active">OFFSET(Lists!$F$2,0,0,COUNTA(Lists!$F:$F)-1,1)</definedName>
    <definedName name="Agreement_Term_Type">OFFSET(Lists!$H$2,0,0,COUNTA(Lists!$H:$H)-1,1)</definedName>
    <definedName name="Agreement_Type">OFFSET(Lists!$C$2,0,0,COUNTA(Lists!$C:$C)-1,1)</definedName>
    <definedName name="Dynamic_AgreementType">OFFSET([1]Lists!$C$2,0,0,COUNTA([1]Lists!$C:$C)-1,1)</definedName>
    <definedName name="Dynamic_Status">OFFSET([1]Lists!$D$2,0,0,COUNTA([1]Lists!$D:$D)-1,1)</definedName>
    <definedName name="MilestoneDateName">OFFSET([2]Lists!$N$2,0,0,COUNTA([2]Lists!$N:$N)-1,1)</definedName>
    <definedName name="Parcel_Type">OFFSET(Lists!$A$2,0,0,COUNTA(Lists!$A:$A)-1,1)</definedName>
    <definedName name="Property_Type">OFFSET(Lists!$B$2,0,0,COUNTA(Lists!$B:$B)-1,1)</definedName>
    <definedName name="Status">OFFSET(Lists!$D$2,0,0,COUNTA(Lists!$D:$D)-1,1)</definedName>
    <definedName name="Title_of_Rep">OFFSET(Lists!$E$2,0,0,COUNTA(Lists!$E:$E)-1,1)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B2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C2" authorId="1" shapeId="0" xr:uid="{00000000-0006-0000-0000-000002000000}">
      <text>
        <r>
          <rPr>
            <sz val="9"/>
            <color rgb="FF000000"/>
            <rFont val="Tahoma"/>
            <family val="2"/>
          </rPr>
          <t>If Parcel Type is not filled in, the System will set it as Surface for new parcels.</t>
        </r>
      </text>
    </comment>
    <comment ref="G2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If this cell is left blank , override flag is WARN and parcel is already on an agreement then import will not allow to import the data , If user choses to ignore then the parcel will removed from the agreement it's associated to.
</t>
        </r>
      </text>
    </comment>
    <comment ref="V2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B2" authorId="0" shapeId="0" xr:uid="{00000000-0006-0000-01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D2" authorId="1" shapeId="0" xr:uid="{00000000-0006-0000-01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E2" authorId="1" shapeId="0" xr:uid="{00000000-0006-0000-01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F2" authorId="1" shapeId="0" xr:uid="{00000000-0006-0000-01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G2" authorId="1" shapeId="0" xr:uid="{00000000-0006-0000-01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B2" authorId="0" shapeId="0" xr:uid="{00000000-0006-0000-02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C2" authorId="0" shapeId="0" xr:uid="{00000000-0006-0000-0200-000002000000}">
      <text>
        <r>
          <rPr>
            <b/>
            <sz val="9"/>
            <color rgb="FF000000"/>
            <rFont val="Tahoma"/>
            <family val="2"/>
          </rPr>
          <t>Alec Pierce:
From Sarah Clark:</t>
        </r>
        <r>
          <rPr>
            <sz val="9"/>
            <color rgb="FF000000"/>
            <rFont val="Tahoma"/>
            <family val="2"/>
          </rPr>
          <t xml:space="preserve">
Required - won't inherit from parcel Grantor field, BUT parcel grantor and agreement grantor fields should MATCH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B2" authorId="0" shapeId="0" xr:uid="{00000000-0006-0000-03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C2" authorId="0" shapeId="0" xr:uid="{00000000-0006-0000-03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B2" authorId="0" shapeId="0" xr:uid="{00000000-0006-0000-04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C2" authorId="0" shapeId="0" xr:uid="{00000000-0006-0000-04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E2" authorId="0" shapeId="0" xr:uid="{00000000-0006-0000-0400-000003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 and it should be in below date format
MM/DD/YYYY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B2" authorId="0" shapeId="0" xr:uid="{00000000-0006-0000-05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C2" authorId="1" shapeId="0" xr:uid="{00000000-0006-0000-05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D2" authorId="1" shapeId="0" xr:uid="{00000000-0006-0000-05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E2" authorId="0" shapeId="0" xr:uid="{00000000-0006-0000-05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
If this field is left blank then Import will not allow you to import the data
</t>
        </r>
      </text>
    </comment>
    <comment ref="F2" authorId="0" shapeId="0" xr:uid="{00000000-0006-0000-05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   
If this field is left blank then Import will not allow you to import the data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Bhagyashri Damodare</author>
  </authors>
  <commentList>
    <comment ref="B2" authorId="0" shapeId="0" xr:uid="{AAA8009F-96AB-4243-9B52-07637B6BC1E9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
</t>
        </r>
      </text>
    </comment>
    <comment ref="C2" authorId="0" shapeId="0" xr:uid="{DB8CBF47-245A-414A-87E4-3795F9A6BA5D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</t>
        </r>
      </text>
    </comment>
  </commentList>
</comments>
</file>

<file path=xl/sharedStrings.xml><?xml version="1.0" encoding="utf-8"?>
<sst xmlns="http://schemas.openxmlformats.org/spreadsheetml/2006/main" count="475" uniqueCount="271">
  <si>
    <t>Parcel #</t>
  </si>
  <si>
    <t>Parcel Type</t>
  </si>
  <si>
    <t>Property Type</t>
  </si>
  <si>
    <t>Legal Description</t>
  </si>
  <si>
    <t>Grantor</t>
  </si>
  <si>
    <t>Agreement Number</t>
  </si>
  <si>
    <t>Agreement Type</t>
  </si>
  <si>
    <t>Parcel Acres</t>
  </si>
  <si>
    <t>GIS Parcel Acres</t>
  </si>
  <si>
    <t>Leased Acres</t>
  </si>
  <si>
    <t>Excluded Acres</t>
  </si>
  <si>
    <t>County PID</t>
  </si>
  <si>
    <r>
      <rPr>
        <b/>
        <sz val="12"/>
        <color rgb="FF000000"/>
        <rFont val="Calibri"/>
        <family val="2"/>
      </rPr>
      <t>Section</t>
    </r>
  </si>
  <si>
    <r>
      <rPr>
        <b/>
        <sz val="12"/>
        <color rgb="FF000000"/>
        <rFont val="Calibri"/>
        <family val="2"/>
      </rPr>
      <t>Block</t>
    </r>
  </si>
  <si>
    <r>
      <rPr>
        <b/>
        <sz val="12"/>
        <color rgb="FF000000"/>
        <rFont val="Calibri"/>
        <family val="2"/>
      </rPr>
      <t>Lot</t>
    </r>
  </si>
  <si>
    <r>
      <rPr>
        <b/>
        <sz val="12"/>
        <color rgb="FF000000"/>
        <rFont val="Calibri"/>
        <family val="2"/>
      </rPr>
      <t>Range</t>
    </r>
  </si>
  <si>
    <t>Active</t>
  </si>
  <si>
    <t>Acquisition Priority</t>
  </si>
  <si>
    <t>Status</t>
  </si>
  <si>
    <t>Contact Type</t>
  </si>
  <si>
    <t>First Name</t>
  </si>
  <si>
    <t>Middle Name</t>
  </si>
  <si>
    <t>Last Name</t>
  </si>
  <si>
    <t>C/O Name</t>
  </si>
  <si>
    <t>Address 1</t>
  </si>
  <si>
    <t>Address 2</t>
  </si>
  <si>
    <t>Address 3</t>
  </si>
  <si>
    <t>City</t>
  </si>
  <si>
    <t>State</t>
  </si>
  <si>
    <t>Work Phone</t>
  </si>
  <si>
    <t>Cell Phone</t>
  </si>
  <si>
    <t>Home Phone</t>
  </si>
  <si>
    <t>Email</t>
  </si>
  <si>
    <t>Surface Ownership %</t>
  </si>
  <si>
    <t>Wind Ownership %</t>
  </si>
  <si>
    <t>Crop Ownership %</t>
  </si>
  <si>
    <t>Vendor #</t>
  </si>
  <si>
    <t>Grantor/Agreement Name</t>
  </si>
  <si>
    <t>Agreement Status</t>
  </si>
  <si>
    <t>Agreement Term Type</t>
  </si>
  <si>
    <t>Effective Date</t>
  </si>
  <si>
    <t>Agreement Term Comments</t>
  </si>
  <si>
    <t>Fax Number</t>
  </si>
  <si>
    <t>Lease Number</t>
  </si>
  <si>
    <t>Task Number</t>
  </si>
  <si>
    <t>Payment Submittal Date</t>
  </si>
  <si>
    <t>Check Cut Date</t>
  </si>
  <si>
    <t>Payment Amount</t>
  </si>
  <si>
    <t>Agreement # (workflow Sheet)</t>
  </si>
  <si>
    <t>ExtProvision</t>
  </si>
  <si>
    <t>True</t>
  </si>
  <si>
    <t>False</t>
  </si>
  <si>
    <t>New Project</t>
  </si>
  <si>
    <t>Historical Project</t>
  </si>
  <si>
    <t>Comments</t>
  </si>
  <si>
    <t>10. Land Data</t>
  </si>
  <si>
    <t>X</t>
  </si>
  <si>
    <t>20. Land Contacts</t>
  </si>
  <si>
    <t>Optional</t>
  </si>
  <si>
    <t>40. Agreement Data</t>
  </si>
  <si>
    <t>N/A</t>
  </si>
  <si>
    <t>50. Agreement Parcels</t>
  </si>
  <si>
    <t>60. Agreement Terms</t>
  </si>
  <si>
    <t>80. Agreement Contacts</t>
  </si>
  <si>
    <t>Title of Rep</t>
  </si>
  <si>
    <t>Active (Offline/Online) Status</t>
  </si>
  <si>
    <t>Column1</t>
  </si>
  <si>
    <t>Column2</t>
  </si>
  <si>
    <t>Column3</t>
  </si>
  <si>
    <t>Surface</t>
  </si>
  <si>
    <t>Commercial</t>
  </si>
  <si>
    <t>Long Form Wind Agreement</t>
  </si>
  <si>
    <t>Not currently interested</t>
  </si>
  <si>
    <t>Chairman</t>
  </si>
  <si>
    <t>Yes</t>
  </si>
  <si>
    <t>2</t>
  </si>
  <si>
    <t>Development</t>
  </si>
  <si>
    <t>Permit</t>
  </si>
  <si>
    <t>Residential</t>
  </si>
  <si>
    <t>Short Form Wind Agreement</t>
  </si>
  <si>
    <t>Nonresponsive</t>
  </si>
  <si>
    <t>Corporate Entity</t>
  </si>
  <si>
    <t>No</t>
  </si>
  <si>
    <t>3</t>
  </si>
  <si>
    <t>Construction</t>
  </si>
  <si>
    <t>Rural</t>
  </si>
  <si>
    <t>Transmission Easement</t>
  </si>
  <si>
    <t>In Discussion-Neutral</t>
  </si>
  <si>
    <t>Custodian</t>
  </si>
  <si>
    <t>1</t>
  </si>
  <si>
    <t>Operational</t>
  </si>
  <si>
    <t>Industrial</t>
  </si>
  <si>
    <t>Good Neighbor Agreement</t>
  </si>
  <si>
    <t>Contact Attempted</t>
  </si>
  <si>
    <t>Deceased</t>
  </si>
  <si>
    <t>Vacant Land</t>
  </si>
  <si>
    <t>Collection System Easement</t>
  </si>
  <si>
    <t>In Discussion-Interested</t>
  </si>
  <si>
    <t>Estate</t>
  </si>
  <si>
    <t>Mineral</t>
  </si>
  <si>
    <t>Tenant Consent</t>
  </si>
  <si>
    <t>Not Contacted</t>
  </si>
  <si>
    <t>Executor</t>
  </si>
  <si>
    <t>Royalty</t>
  </si>
  <si>
    <t>Subordination &amp; Non-Disturbance Agreement</t>
  </si>
  <si>
    <t>Signed with Competitor</t>
  </si>
  <si>
    <t>Executrix</t>
  </si>
  <si>
    <t>Road Easement</t>
  </si>
  <si>
    <t>Fully Executed</t>
  </si>
  <si>
    <t>Fee Owner</t>
  </si>
  <si>
    <t>Titled Land</t>
  </si>
  <si>
    <t>Noise Waiver</t>
  </si>
  <si>
    <t>Signed by Landowner</t>
  </si>
  <si>
    <t>Former Owner</t>
  </si>
  <si>
    <t>Provincial Crown</t>
  </si>
  <si>
    <t>Overhang Easement</t>
  </si>
  <si>
    <t>General Partner</t>
  </si>
  <si>
    <t>Federal crown</t>
  </si>
  <si>
    <t>Setback Waiver</t>
  </si>
  <si>
    <t>Individual</t>
  </si>
  <si>
    <t>Long Form Renewable</t>
  </si>
  <si>
    <t>Life Estate</t>
  </si>
  <si>
    <t>Short Form Renewable</t>
  </si>
  <si>
    <t>Life Estate Holder</t>
  </si>
  <si>
    <t>Conservation Easement</t>
  </si>
  <si>
    <t>Limited Partner</t>
  </si>
  <si>
    <t>Short Form Solar Agreement</t>
  </si>
  <si>
    <t>Manager</t>
  </si>
  <si>
    <t>Long Form Solar Agreement</t>
  </si>
  <si>
    <t>Managing Member</t>
  </si>
  <si>
    <t>Managing Partner</t>
  </si>
  <si>
    <t>Marriage</t>
  </si>
  <si>
    <t>Minor</t>
  </si>
  <si>
    <t>Power of Attorney</t>
  </si>
  <si>
    <t>President</t>
  </si>
  <si>
    <t>Remaindermen</t>
  </si>
  <si>
    <t>Secretary</t>
  </si>
  <si>
    <t>Tenant Farmer</t>
  </si>
  <si>
    <t>Treasurer</t>
  </si>
  <si>
    <t>Trust</t>
  </si>
  <si>
    <t>Trust Officer</t>
  </si>
  <si>
    <t>Trustee</t>
  </si>
  <si>
    <t>Vice President</t>
  </si>
  <si>
    <t>Automation Legal Description import</t>
  </si>
  <si>
    <t>Ohio</t>
  </si>
  <si>
    <t>Orange</t>
  </si>
  <si>
    <t>Pune</t>
  </si>
  <si>
    <t>AIP01</t>
  </si>
  <si>
    <t>h</t>
  </si>
  <si>
    <t>Cisco</t>
  </si>
  <si>
    <t>Addr 1</t>
  </si>
  <si>
    <t>addr 22</t>
  </si>
  <si>
    <t>addr 3</t>
  </si>
  <si>
    <t>test@gmail.com</t>
  </si>
  <si>
    <t>AG01</t>
  </si>
  <si>
    <t>comments0</t>
  </si>
  <si>
    <t>comments1</t>
  </si>
  <si>
    <t>comments2</t>
  </si>
  <si>
    <t>Mname</t>
  </si>
  <si>
    <t xml:space="preserve">XYZ Entity </t>
  </si>
  <si>
    <t>Lane 1</t>
  </si>
  <si>
    <t>Lane 2</t>
  </si>
  <si>
    <t>Lane 3</t>
  </si>
  <si>
    <t>Solano</t>
  </si>
  <si>
    <t>Colorado</t>
  </si>
  <si>
    <t>xyz@geoamps.com</t>
  </si>
  <si>
    <t>Automation Test@2</t>
  </si>
  <si>
    <t>AG13</t>
  </si>
  <si>
    <t>AG14</t>
  </si>
  <si>
    <t>AG15</t>
  </si>
  <si>
    <t>AG16</t>
  </si>
  <si>
    <t>Automation Import @1</t>
  </si>
  <si>
    <t>Automation Import @2</t>
  </si>
  <si>
    <t>Automation Import @3</t>
  </si>
  <si>
    <t>Automation Import @4</t>
  </si>
  <si>
    <t>Agreement</t>
  </si>
  <si>
    <t>Contact Test</t>
  </si>
  <si>
    <t>Access Easement</t>
  </si>
  <si>
    <t>Executed</t>
  </si>
  <si>
    <t>Pending</t>
  </si>
  <si>
    <t>Recorded</t>
  </si>
  <si>
    <t>Letter of Intent</t>
  </si>
  <si>
    <t>Right of Entry</t>
  </si>
  <si>
    <t>Met Station</t>
  </si>
  <si>
    <t>Wind Lease Option</t>
  </si>
  <si>
    <t>Test2</t>
  </si>
  <si>
    <t>County</t>
  </si>
  <si>
    <t>Township</t>
  </si>
  <si>
    <t>Title</t>
  </si>
  <si>
    <t>String</t>
  </si>
  <si>
    <t>Automation2</t>
  </si>
  <si>
    <t>Test3</t>
  </si>
  <si>
    <t>Entity Name</t>
  </si>
  <si>
    <t>Postal Code</t>
  </si>
  <si>
    <t>Maryland</t>
  </si>
  <si>
    <t>1.00000000</t>
  </si>
  <si>
    <t>Attn To</t>
  </si>
  <si>
    <t>Zip</t>
  </si>
  <si>
    <t>N 1/2</t>
  </si>
  <si>
    <t>SE 1/5</t>
  </si>
  <si>
    <t>SW 1/2</t>
  </si>
  <si>
    <t>S24</t>
  </si>
  <si>
    <t>T32N</t>
  </si>
  <si>
    <t>R18E</t>
  </si>
  <si>
    <t>Land data without agreement</t>
  </si>
  <si>
    <t>N 1/3</t>
  </si>
  <si>
    <t>SE 1/4</t>
  </si>
  <si>
    <t>SW 1/4</t>
  </si>
  <si>
    <t>S21</t>
  </si>
  <si>
    <t>50.55660000</t>
  </si>
  <si>
    <t>40.22330000</t>
  </si>
  <si>
    <t>50.11220000</t>
  </si>
  <si>
    <t>50.05100000</t>
  </si>
  <si>
    <t>40.25146000</t>
  </si>
  <si>
    <t>50.00000000</t>
  </si>
  <si>
    <t>NA</t>
  </si>
  <si>
    <t>LandDataImportNOVA1</t>
  </si>
  <si>
    <t>LandDataImportNOVA2</t>
  </si>
  <si>
    <t>Long Form Wind Lease</t>
  </si>
  <si>
    <t>ParcelOwnersImportNOVA</t>
  </si>
  <si>
    <t>Geoamps/uatNOVA</t>
  </si>
  <si>
    <t>AgreementDataImportNOVA1</t>
  </si>
  <si>
    <t>AgreementDataImportNOVA2</t>
  </si>
  <si>
    <t>AgreementDataImportNOVA3</t>
  </si>
  <si>
    <t>AgreementDataImportNOVA4</t>
  </si>
  <si>
    <t>Long Form Solar Lease</t>
  </si>
  <si>
    <t>AgreementParcelsImportNOVA</t>
  </si>
  <si>
    <t>AgreementTermsImportNOVA1</t>
  </si>
  <si>
    <t>AgreementTermsImportNOVA2</t>
  </si>
  <si>
    <t>AgreementTermsImportNOVA3</t>
  </si>
  <si>
    <t>AgreementContactsImportNOVA</t>
  </si>
  <si>
    <t>Quarter Section</t>
  </si>
  <si>
    <t>20.55460000</t>
  </si>
  <si>
    <t>20.00000000</t>
  </si>
  <si>
    <t>AP02</t>
  </si>
  <si>
    <t>Signed</t>
  </si>
  <si>
    <t>Term Length years</t>
  </si>
  <si>
    <t>Term Length months</t>
  </si>
  <si>
    <t>Term Length days</t>
  </si>
  <si>
    <t>11/1/2022</t>
  </si>
  <si>
    <t>11/1/2021</t>
  </si>
  <si>
    <t>11/1/2020</t>
  </si>
  <si>
    <t>1.00</t>
  </si>
  <si>
    <t>Payment Share</t>
  </si>
  <si>
    <t>W9</t>
  </si>
  <si>
    <t>1.0</t>
  </si>
  <si>
    <t>Date Name</t>
  </si>
  <si>
    <t>Expected Date</t>
  </si>
  <si>
    <t>Actual Date</t>
  </si>
  <si>
    <t>Agreement Received</t>
  </si>
  <si>
    <t>Import Test</t>
  </si>
  <si>
    <t>AgreementMilestoneDatesImportNOVA</t>
  </si>
  <si>
    <t>Inherited from Agreement</t>
  </si>
  <si>
    <t>1/1/2025</t>
  </si>
  <si>
    <t>Type of Payment</t>
  </si>
  <si>
    <t>Agreement Phase</t>
  </si>
  <si>
    <t>Due Date</t>
  </si>
  <si>
    <t>Payee</t>
  </si>
  <si>
    <t>Check No</t>
  </si>
  <si>
    <t>Check Amount</t>
  </si>
  <si>
    <t>Check Date</t>
  </si>
  <si>
    <t>Amount Due</t>
  </si>
  <si>
    <t>Surface Ownership</t>
  </si>
  <si>
    <t>$5,000.00</t>
  </si>
  <si>
    <t>12/1/2024</t>
  </si>
  <si>
    <t>Approved</t>
  </si>
  <si>
    <t>Test</t>
  </si>
  <si>
    <t>Crop Damage</t>
  </si>
  <si>
    <t>PaymentHistoryImportNOVA</t>
  </si>
  <si>
    <t>AIP05</t>
  </si>
  <si>
    <t>AIP06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</si>
</sst>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FF0000"/>
      <name val="Calibri"/>
      <family val="2"/>
    </font>
    <font>
      <b/>
      <i/>
      <sz val="11"/>
      <color theme="0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000000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b/>
      <sz val="12"/>
      <color theme="5"/>
      <name val="Calibri"/>
      <family val="2"/>
    </font>
    <font>
      <b/>
      <sz val="12"/>
      <color rgb="FF000000"/>
      <name val="Calibri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u/>
      <sz val="10"/>
      <color theme="10"/>
      <name val="Arial"/>
      <family val="2"/>
    </font>
    <font>
      <u/>
      <sz val="10"/>
      <color theme="10"/>
      <name val="Arial"/>
      <family val="2"/>
    </font>
    <font>
      <sz val="9"/>
      <name val="Segoe UI"/>
      <family val="2"/>
    </font>
    <font>
      <b/>
      <sz val="12"/>
      <name val="Calibri"/>
      <family val="2"/>
    </font>
    <font>
      <b/>
      <sz val="12"/>
      <name val="Arial"/>
      <family val="2"/>
    </font>
    <font>
      <sz val="12"/>
      <name val="Calibri"/>
      <family val="2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02">
    <xf numFmtId="0" fontId="0" fillId="0" borderId="0"/>
    <xf numFmtId="0" fontId="9" fillId="0" borderId="0"/>
    <xf numFmtId="0" fontId="8" fillId="0" borderId="0"/>
    <xf numFmtId="0" fontId="7" fillId="0" borderId="0"/>
    <xf numFmtId="0" fontId="7" fillId="0" borderId="0"/>
    <xf numFmtId="0" fontId="14" fillId="0" borderId="0" applyNumberFormat="0" applyBorder="0" applyAlignment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</cellStyleXfs>
  <cellXfs count="63">
    <xf numFmtId="0" fontId="0" fillId="0" borderId="0" xfId="0"/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5" fillId="0" borderId="1" xfId="0" applyFont="1" applyBorder="1"/>
    <xf numFmtId="0" fontId="0" fillId="0" borderId="0" xfId="0" applyAlignment="1">
      <alignment wrapText="1"/>
    </xf>
    <xf numFmtId="0" fontId="15" fillId="0" borderId="0" xfId="0" applyFont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/>
    <xf numFmtId="49" fontId="18" fillId="2" borderId="2" xfId="0" applyNumberFormat="1" applyFont="1" applyFill="1" applyBorder="1" applyAlignment="1">
      <alignment horizontal="center" wrapText="1"/>
    </xf>
    <xf numFmtId="0" fontId="17" fillId="2" borderId="2" xfId="0" applyFont="1" applyFill="1" applyBorder="1" applyAlignment="1">
      <alignment horizontal="center" wrapText="1"/>
    </xf>
    <xf numFmtId="165" fontId="17" fillId="2" borderId="2" xfId="0" applyNumberFormat="1" applyFont="1" applyFill="1" applyBorder="1" applyAlignment="1">
      <alignment horizontal="center" wrapText="1"/>
    </xf>
    <xf numFmtId="49" fontId="17" fillId="2" borderId="2" xfId="0" applyNumberFormat="1" applyFont="1" applyFill="1" applyBorder="1" applyAlignment="1">
      <alignment horizontal="center" wrapText="1"/>
    </xf>
    <xf numFmtId="0" fontId="18" fillId="2" borderId="2" xfId="0" applyFont="1" applyFill="1" applyBorder="1" applyAlignment="1">
      <alignment horizontal="center" wrapText="1"/>
    </xf>
    <xf numFmtId="164" fontId="17" fillId="2" borderId="2" xfId="0" applyNumberFormat="1" applyFont="1" applyFill="1" applyBorder="1" applyAlignment="1">
      <alignment horizontal="center" wrapText="1"/>
    </xf>
    <xf numFmtId="0" fontId="5" fillId="0" borderId="0" xfId="0" applyFont="1"/>
    <xf numFmtId="0" fontId="0" fillId="4" borderId="0" xfId="0" applyFill="1"/>
    <xf numFmtId="2" fontId="13" fillId="4" borderId="0" xfId="0" applyNumberFormat="1" applyFont="1" applyFill="1" applyAlignment="1">
      <alignment horizontal="center"/>
    </xf>
    <xf numFmtId="2" fontId="13" fillId="4" borderId="4" xfId="0" applyNumberFormat="1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2" fontId="12" fillId="4" borderId="5" xfId="0" applyNumberFormat="1" applyFont="1" applyFill="1" applyBorder="1" applyAlignment="1">
      <alignment horizontal="center" vertical="center" wrapText="1"/>
    </xf>
    <xf numFmtId="2" fontId="12" fillId="4" borderId="3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2" fillId="0" borderId="0" xfId="27" applyAlignment="1">
      <alignment horizontal="left"/>
    </xf>
    <xf numFmtId="49" fontId="9" fillId="0" borderId="0" xfId="0" applyNumberFormat="1" applyFont="1"/>
    <xf numFmtId="0" fontId="9" fillId="0" borderId="0" xfId="0" applyFont="1" applyAlignment="1">
      <alignment horizontal="center"/>
    </xf>
    <xf numFmtId="0" fontId="22" fillId="0" borderId="0" xfId="27"/>
    <xf numFmtId="0" fontId="19" fillId="2" borderId="2" xfId="0" applyFont="1" applyFill="1" applyBorder="1" applyAlignment="1">
      <alignment horizontal="center" wrapText="1"/>
    </xf>
    <xf numFmtId="49" fontId="19" fillId="2" borderId="2" xfId="0" applyNumberFormat="1" applyFont="1" applyFill="1" applyBorder="1" applyAlignment="1">
      <alignment horizontal="center" wrapText="1"/>
    </xf>
    <xf numFmtId="49" fontId="18" fillId="2" borderId="7" xfId="0" applyNumberFormat="1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center"/>
    </xf>
    <xf numFmtId="49" fontId="18" fillId="2" borderId="1" xfId="0" applyNumberFormat="1" applyFont="1" applyFill="1" applyBorder="1" applyAlignment="1">
      <alignment horizontal="center" wrapText="1"/>
    </xf>
    <xf numFmtId="0" fontId="17" fillId="2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24" fillId="0" borderId="0" xfId="0" applyFont="1"/>
    <xf numFmtId="0" fontId="0" fillId="2" borderId="0" xfId="0" applyFill="1"/>
    <xf numFmtId="0" fontId="10" fillId="2" borderId="1" xfId="0" applyFont="1" applyFill="1" applyBorder="1" applyAlignment="1">
      <alignment horizontal="center" vertical="center" wrapText="1"/>
    </xf>
    <xf numFmtId="0" fontId="9" fillId="0" borderId="0" xfId="0" applyFont="1"/>
    <xf numFmtId="49" fontId="0" fillId="0" borderId="1" xfId="0" applyNumberFormat="1" applyBorder="1"/>
    <xf numFmtId="0" fontId="4" fillId="0" borderId="1" xfId="0" applyFont="1" applyBorder="1"/>
    <xf numFmtId="49" fontId="1" fillId="0" borderId="1" xfId="0" applyNumberFormat="1" applyFont="1" applyBorder="1"/>
    <xf numFmtId="0" fontId="26" fillId="2" borderId="1" xfId="0" applyFont="1" applyFill="1" applyBorder="1" applyAlignment="1">
      <alignment horizontal="center" vertical="center" wrapText="1"/>
    </xf>
    <xf numFmtId="49" fontId="25" fillId="2" borderId="1" xfId="0" applyNumberFormat="1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49" fontId="27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0" fillId="0" borderId="1" xfId="0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9" fillId="2" borderId="1" xfId="0" applyFont="1" applyFill="1" applyBorder="1" applyAlignment="1">
      <alignment horizontal="center" vertical="center"/>
    </xf>
    <xf numFmtId="0" fontId="30" fillId="2" borderId="1" xfId="101" applyFont="1" applyFill="1" applyBorder="1" applyAlignment="1">
      <alignment horizontal="center" vertical="center" wrapText="1"/>
    </xf>
    <xf numFmtId="0" fontId="31" fillId="2" borderId="1" xfId="101" applyFont="1" applyFill="1" applyBorder="1" applyAlignment="1">
      <alignment horizontal="center" vertical="center" wrapText="1"/>
    </xf>
    <xf numFmtId="49" fontId="28" fillId="0" borderId="1" xfId="101" applyNumberFormat="1" applyBorder="1"/>
    <xf numFmtId="0" fontId="28" fillId="0" borderId="1" xfId="101" applyBorder="1"/>
    <xf numFmtId="49" fontId="9" fillId="0" borderId="1" xfId="101" applyNumberFormat="1" applyFont="1" applyBorder="1"/>
  </cellXfs>
  <cellStyles count="102">
    <cellStyle name="Hyperlink" xfId="27" builtinId="8"/>
    <cellStyle name="Hyperlink 2" xfId="64" xr:uid="{00000000-0005-0000-0000-000001000000}"/>
    <cellStyle name="Normal" xfId="0" builtinId="0"/>
    <cellStyle name="Normal 13" xfId="3" xr:uid="{00000000-0005-0000-0000-000003000000}"/>
    <cellStyle name="Normal 13 2" xfId="7" xr:uid="{00000000-0005-0000-0000-000004000000}"/>
    <cellStyle name="Normal 13 2 2" xfId="13" xr:uid="{00000000-0005-0000-0000-000005000000}"/>
    <cellStyle name="Normal 13 2 2 2" xfId="25" xr:uid="{00000000-0005-0000-0000-000006000000}"/>
    <cellStyle name="Normal 13 2 2 2 2" xfId="50" xr:uid="{00000000-0005-0000-0000-000007000000}"/>
    <cellStyle name="Normal 13 2 2 2 3" xfId="87" xr:uid="{00000000-0005-0000-0000-000008000000}"/>
    <cellStyle name="Normal 13 2 2 3" xfId="62" xr:uid="{00000000-0005-0000-0000-000009000000}"/>
    <cellStyle name="Normal 13 2 2 3 2" xfId="99" xr:uid="{00000000-0005-0000-0000-00000A000000}"/>
    <cellStyle name="Normal 13 2 2 4" xfId="38" xr:uid="{00000000-0005-0000-0000-00000B000000}"/>
    <cellStyle name="Normal 13 2 2 5" xfId="75" xr:uid="{00000000-0005-0000-0000-00000C000000}"/>
    <cellStyle name="Normal 13 2 3" xfId="19" xr:uid="{00000000-0005-0000-0000-00000D000000}"/>
    <cellStyle name="Normal 13 2 3 2" xfId="44" xr:uid="{00000000-0005-0000-0000-00000E000000}"/>
    <cellStyle name="Normal 13 2 3 3" xfId="81" xr:uid="{00000000-0005-0000-0000-00000F000000}"/>
    <cellStyle name="Normal 13 2 4" xfId="56" xr:uid="{00000000-0005-0000-0000-000010000000}"/>
    <cellStyle name="Normal 13 2 4 2" xfId="93" xr:uid="{00000000-0005-0000-0000-000011000000}"/>
    <cellStyle name="Normal 13 2 5" xfId="32" xr:uid="{00000000-0005-0000-0000-000012000000}"/>
    <cellStyle name="Normal 13 2 6" xfId="69" xr:uid="{00000000-0005-0000-0000-000013000000}"/>
    <cellStyle name="Normal 13 3" xfId="10" xr:uid="{00000000-0005-0000-0000-000014000000}"/>
    <cellStyle name="Normal 13 3 2" xfId="22" xr:uid="{00000000-0005-0000-0000-000015000000}"/>
    <cellStyle name="Normal 13 3 2 2" xfId="47" xr:uid="{00000000-0005-0000-0000-000016000000}"/>
    <cellStyle name="Normal 13 3 2 3" xfId="84" xr:uid="{00000000-0005-0000-0000-000017000000}"/>
    <cellStyle name="Normal 13 3 3" xfId="59" xr:uid="{00000000-0005-0000-0000-000018000000}"/>
    <cellStyle name="Normal 13 3 3 2" xfId="96" xr:uid="{00000000-0005-0000-0000-000019000000}"/>
    <cellStyle name="Normal 13 3 4" xfId="35" xr:uid="{00000000-0005-0000-0000-00001A000000}"/>
    <cellStyle name="Normal 13 3 5" xfId="72" xr:uid="{00000000-0005-0000-0000-00001B000000}"/>
    <cellStyle name="Normal 13 4" xfId="16" xr:uid="{00000000-0005-0000-0000-00001C000000}"/>
    <cellStyle name="Normal 13 4 2" xfId="41" xr:uid="{00000000-0005-0000-0000-00001D000000}"/>
    <cellStyle name="Normal 13 4 3" xfId="78" xr:uid="{00000000-0005-0000-0000-00001E000000}"/>
    <cellStyle name="Normal 13 5" xfId="53" xr:uid="{00000000-0005-0000-0000-00001F000000}"/>
    <cellStyle name="Normal 13 5 2" xfId="90" xr:uid="{00000000-0005-0000-0000-000020000000}"/>
    <cellStyle name="Normal 13 6" xfId="29" xr:uid="{00000000-0005-0000-0000-000021000000}"/>
    <cellStyle name="Normal 13 7" xfId="66" xr:uid="{00000000-0005-0000-0000-000022000000}"/>
    <cellStyle name="Normal 2" xfId="1" xr:uid="{00000000-0005-0000-0000-000023000000}"/>
    <cellStyle name="Normal 3" xfId="2" xr:uid="{00000000-0005-0000-0000-000024000000}"/>
    <cellStyle name="Normal 3 2" xfId="6" xr:uid="{00000000-0005-0000-0000-000025000000}"/>
    <cellStyle name="Normal 3 2 2" xfId="12" xr:uid="{00000000-0005-0000-0000-000026000000}"/>
    <cellStyle name="Normal 3 2 2 2" xfId="24" xr:uid="{00000000-0005-0000-0000-000027000000}"/>
    <cellStyle name="Normal 3 2 2 2 2" xfId="49" xr:uid="{00000000-0005-0000-0000-000028000000}"/>
    <cellStyle name="Normal 3 2 2 2 3" xfId="86" xr:uid="{00000000-0005-0000-0000-000029000000}"/>
    <cellStyle name="Normal 3 2 2 3" xfId="61" xr:uid="{00000000-0005-0000-0000-00002A000000}"/>
    <cellStyle name="Normal 3 2 2 3 2" xfId="98" xr:uid="{00000000-0005-0000-0000-00002B000000}"/>
    <cellStyle name="Normal 3 2 2 4" xfId="37" xr:uid="{00000000-0005-0000-0000-00002C000000}"/>
    <cellStyle name="Normal 3 2 2 5" xfId="74" xr:uid="{00000000-0005-0000-0000-00002D000000}"/>
    <cellStyle name="Normal 3 2 3" xfId="18" xr:uid="{00000000-0005-0000-0000-00002E000000}"/>
    <cellStyle name="Normal 3 2 3 2" xfId="43" xr:uid="{00000000-0005-0000-0000-00002F000000}"/>
    <cellStyle name="Normal 3 2 3 3" xfId="80" xr:uid="{00000000-0005-0000-0000-000030000000}"/>
    <cellStyle name="Normal 3 2 4" xfId="55" xr:uid="{00000000-0005-0000-0000-000031000000}"/>
    <cellStyle name="Normal 3 2 4 2" xfId="92" xr:uid="{00000000-0005-0000-0000-000032000000}"/>
    <cellStyle name="Normal 3 2 5" xfId="31" xr:uid="{00000000-0005-0000-0000-000033000000}"/>
    <cellStyle name="Normal 3 2 6" xfId="68" xr:uid="{00000000-0005-0000-0000-000034000000}"/>
    <cellStyle name="Normal 3 3" xfId="4" xr:uid="{00000000-0005-0000-0000-000035000000}"/>
    <cellStyle name="Normal 3 3 2" xfId="8" xr:uid="{00000000-0005-0000-0000-000036000000}"/>
    <cellStyle name="Normal 3 3 2 2" xfId="14" xr:uid="{00000000-0005-0000-0000-000037000000}"/>
    <cellStyle name="Normal 3 3 2 2 2" xfId="26" xr:uid="{00000000-0005-0000-0000-000038000000}"/>
    <cellStyle name="Normal 3 3 2 2 2 2" xfId="51" xr:uid="{00000000-0005-0000-0000-000039000000}"/>
    <cellStyle name="Normal 3 3 2 2 2 3" xfId="88" xr:uid="{00000000-0005-0000-0000-00003A000000}"/>
    <cellStyle name="Normal 3 3 2 2 3" xfId="63" xr:uid="{00000000-0005-0000-0000-00003B000000}"/>
    <cellStyle name="Normal 3 3 2 2 3 2" xfId="100" xr:uid="{00000000-0005-0000-0000-00003C000000}"/>
    <cellStyle name="Normal 3 3 2 2 4" xfId="39" xr:uid="{00000000-0005-0000-0000-00003D000000}"/>
    <cellStyle name="Normal 3 3 2 2 5" xfId="76" xr:uid="{00000000-0005-0000-0000-00003E000000}"/>
    <cellStyle name="Normal 3 3 2 3" xfId="20" xr:uid="{00000000-0005-0000-0000-00003F000000}"/>
    <cellStyle name="Normal 3 3 2 3 2" xfId="45" xr:uid="{00000000-0005-0000-0000-000040000000}"/>
    <cellStyle name="Normal 3 3 2 3 3" xfId="82" xr:uid="{00000000-0005-0000-0000-000041000000}"/>
    <cellStyle name="Normal 3 3 2 4" xfId="57" xr:uid="{00000000-0005-0000-0000-000042000000}"/>
    <cellStyle name="Normal 3 3 2 4 2" xfId="94" xr:uid="{00000000-0005-0000-0000-000043000000}"/>
    <cellStyle name="Normal 3 3 2 5" xfId="33" xr:uid="{00000000-0005-0000-0000-000044000000}"/>
    <cellStyle name="Normal 3 3 2 6" xfId="70" xr:uid="{00000000-0005-0000-0000-000045000000}"/>
    <cellStyle name="Normal 3 3 3" xfId="11" xr:uid="{00000000-0005-0000-0000-000046000000}"/>
    <cellStyle name="Normal 3 3 3 2" xfId="23" xr:uid="{00000000-0005-0000-0000-000047000000}"/>
    <cellStyle name="Normal 3 3 3 2 2" xfId="48" xr:uid="{00000000-0005-0000-0000-000048000000}"/>
    <cellStyle name="Normal 3 3 3 2 3" xfId="85" xr:uid="{00000000-0005-0000-0000-000049000000}"/>
    <cellStyle name="Normal 3 3 3 3" xfId="60" xr:uid="{00000000-0005-0000-0000-00004A000000}"/>
    <cellStyle name="Normal 3 3 3 3 2" xfId="97" xr:uid="{00000000-0005-0000-0000-00004B000000}"/>
    <cellStyle name="Normal 3 3 3 4" xfId="36" xr:uid="{00000000-0005-0000-0000-00004C000000}"/>
    <cellStyle name="Normal 3 3 3 5" xfId="73" xr:uid="{00000000-0005-0000-0000-00004D000000}"/>
    <cellStyle name="Normal 3 3 4" xfId="17" xr:uid="{00000000-0005-0000-0000-00004E000000}"/>
    <cellStyle name="Normal 3 3 4 2" xfId="42" xr:uid="{00000000-0005-0000-0000-00004F000000}"/>
    <cellStyle name="Normal 3 3 4 3" xfId="79" xr:uid="{00000000-0005-0000-0000-000050000000}"/>
    <cellStyle name="Normal 3 3 5" xfId="54" xr:uid="{00000000-0005-0000-0000-000051000000}"/>
    <cellStyle name="Normal 3 3 5 2" xfId="91" xr:uid="{00000000-0005-0000-0000-000052000000}"/>
    <cellStyle name="Normal 3 3 6" xfId="30" xr:uid="{00000000-0005-0000-0000-000053000000}"/>
    <cellStyle name="Normal 3 3 7" xfId="67" xr:uid="{00000000-0005-0000-0000-000054000000}"/>
    <cellStyle name="Normal 3 4" xfId="9" xr:uid="{00000000-0005-0000-0000-000055000000}"/>
    <cellStyle name="Normal 3 4 2" xfId="21" xr:uid="{00000000-0005-0000-0000-000056000000}"/>
    <cellStyle name="Normal 3 4 2 2" xfId="46" xr:uid="{00000000-0005-0000-0000-000057000000}"/>
    <cellStyle name="Normal 3 4 2 3" xfId="83" xr:uid="{00000000-0005-0000-0000-000058000000}"/>
    <cellStyle name="Normal 3 4 3" xfId="58" xr:uid="{00000000-0005-0000-0000-000059000000}"/>
    <cellStyle name="Normal 3 4 3 2" xfId="95" xr:uid="{00000000-0005-0000-0000-00005A000000}"/>
    <cellStyle name="Normal 3 4 4" xfId="34" xr:uid="{00000000-0005-0000-0000-00005B000000}"/>
    <cellStyle name="Normal 3 4 5" xfId="71" xr:uid="{00000000-0005-0000-0000-00005C000000}"/>
    <cellStyle name="Normal 3 5" xfId="15" xr:uid="{00000000-0005-0000-0000-00005D000000}"/>
    <cellStyle name="Normal 3 5 2" xfId="40" xr:uid="{00000000-0005-0000-0000-00005E000000}"/>
    <cellStyle name="Normal 3 5 3" xfId="77" xr:uid="{00000000-0005-0000-0000-00005F000000}"/>
    <cellStyle name="Normal 3 6" xfId="52" xr:uid="{00000000-0005-0000-0000-000060000000}"/>
    <cellStyle name="Normal 3 6 2" xfId="89" xr:uid="{00000000-0005-0000-0000-000061000000}"/>
    <cellStyle name="Normal 3 7" xfId="28" xr:uid="{00000000-0005-0000-0000-000062000000}"/>
    <cellStyle name="Normal 3 8" xfId="65" xr:uid="{00000000-0005-0000-0000-000063000000}"/>
    <cellStyle name="Normal 38" xfId="5" xr:uid="{00000000-0005-0000-0000-000064000000}"/>
    <cellStyle name="Normal 5" xfId="101" xr:uid="{03588816-390E-45D5-9551-312AF72463D1}"/>
  </cellStyles>
  <dxfs count="14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eoamps/eclipse-workspace2/Import_Project_Nova/NOVA-Consolidated_Project_Data_Import_With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grawal\Downloads\Consolidated_Project_Data_Import%20(1).xlsx" TargetMode="External"/><Relationship Id="rId1" Type="http://schemas.openxmlformats.org/officeDocument/2006/relationships/externalLinkPath" Target="/Users/cagrawal/Downloads/Consolidated_Project_Data_Impor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 Land Data"/>
      <sheetName val="20. Parcel Owners"/>
      <sheetName val="40. Agreement Data"/>
      <sheetName val="50. Agreement Parcels"/>
      <sheetName val="60. Agreement Terms"/>
      <sheetName val="80. Agreement Contacts"/>
      <sheetName val="06. Payment History"/>
      <sheetName val="Index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C1" t="str">
            <v>Agreement Type</v>
          </cell>
          <cell r="D1" t="str">
            <v>Status</v>
          </cell>
        </row>
        <row r="2">
          <cell r="C2" t="str">
            <v>Long Form Wind Lease</v>
          </cell>
          <cell r="D2" t="str">
            <v>Signed</v>
          </cell>
        </row>
        <row r="3">
          <cell r="C3" t="str">
            <v>Transmission Easement (Overhead)</v>
          </cell>
          <cell r="D3" t="str">
            <v>Targeted</v>
          </cell>
        </row>
        <row r="4">
          <cell r="C4" t="str">
            <v xml:space="preserve">Good Neighbor/Consent Agreement </v>
          </cell>
          <cell r="D4" t="str">
            <v>Sent Intro Letter</v>
          </cell>
        </row>
        <row r="5">
          <cell r="C5" t="str">
            <v>Collection Easement (Underground)</v>
          </cell>
          <cell r="D5" t="str">
            <v>Not Interested</v>
          </cell>
        </row>
        <row r="6">
          <cell r="C6" t="str">
            <v>Setback Waiver</v>
          </cell>
          <cell r="D6" t="str">
            <v>Competitor Lease</v>
          </cell>
        </row>
        <row r="7">
          <cell r="C7" t="str">
            <v>Long Form Solar Lease</v>
          </cell>
          <cell r="D7" t="str">
            <v>Inherited From Agreement</v>
          </cell>
        </row>
        <row r="8">
          <cell r="C8" t="str">
            <v>Long Form Storage Lease</v>
          </cell>
          <cell r="D8" t="str">
            <v>Sent Blank Lease</v>
          </cell>
        </row>
        <row r="9">
          <cell r="C9" t="str">
            <v>Mineral Rights</v>
          </cell>
          <cell r="D9" t="str">
            <v>Sent Populated Lease</v>
          </cell>
        </row>
        <row r="10">
          <cell r="C10" t="str">
            <v>Surface Waiver</v>
          </cell>
          <cell r="D10" t="str">
            <v>Recorded</v>
          </cell>
        </row>
        <row r="11">
          <cell r="C11" t="str">
            <v>Temporary License</v>
          </cell>
          <cell r="D11" t="str">
            <v>None</v>
          </cell>
        </row>
        <row r="12">
          <cell r="C12" t="str">
            <v>Met Tower License</v>
          </cell>
          <cell r="D12" t="str">
            <v>Target Easement</v>
          </cell>
        </row>
        <row r="13">
          <cell r="C13" t="str">
            <v>Long Form Solar &amp; Storage Easement</v>
          </cell>
          <cell r="D13" t="str">
            <v>Signed Easement</v>
          </cell>
        </row>
        <row r="14">
          <cell r="C14" t="str">
            <v>Purchase Option</v>
          </cell>
        </row>
        <row r="15">
          <cell r="C15" t="str">
            <v>Surface Use Agreement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. Land Data"/>
      <sheetName val="15. Additional Land Data"/>
      <sheetName val="20. Parcel Owners"/>
      <sheetName val="30. Parcel Contacts"/>
      <sheetName val="40. Agreement Data"/>
      <sheetName val="45. Additional Agreement Data"/>
      <sheetName val="50. Agreement Parcels"/>
      <sheetName val="60. Agreement Terms"/>
      <sheetName val="70. Agent Notes"/>
      <sheetName val="80. Agreement Payees"/>
      <sheetName val="160. Agreement Milestone Dates"/>
      <sheetName val="60. Payment History"/>
      <sheetName val="150. Title Import"/>
      <sheetName val="06. Payment History"/>
      <sheetName val="Index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N1" t="str">
            <v>MilestoneDateName</v>
          </cell>
        </row>
        <row r="2">
          <cell r="N2" t="str">
            <v>Agreement Received</v>
          </cell>
        </row>
        <row r="3">
          <cell r="N3" t="str">
            <v>LO Initial Contact Date</v>
          </cell>
        </row>
        <row r="4">
          <cell r="N4" t="str">
            <v>Agreement Doc Prepared</v>
          </cell>
        </row>
        <row r="5">
          <cell r="N5" t="str">
            <v>Agreement Doc Presented to Landowner</v>
          </cell>
        </row>
        <row r="6">
          <cell r="N6" t="str">
            <v>Lease Requested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" displayName="Lists" ref="A1:K30" totalsRowShown="0">
  <autoFilter ref="A1:K30" xr:uid="{00000000-0009-0000-0100-000001000000}"/>
  <tableColumns count="11">
    <tableColumn id="1" xr3:uid="{00000000-0010-0000-0000-000001000000}" name="Parcel Type"/>
    <tableColumn id="2" xr3:uid="{00000000-0010-0000-0000-000002000000}" name="Property Type"/>
    <tableColumn id="3" xr3:uid="{00000000-0010-0000-0000-000003000000}" name="Agreement Type"/>
    <tableColumn id="4" xr3:uid="{00000000-0010-0000-0000-000004000000}" name="Status"/>
    <tableColumn id="5" xr3:uid="{00000000-0010-0000-0000-000005000000}" name="Title of Rep"/>
    <tableColumn id="6" xr3:uid="{00000000-0010-0000-0000-000006000000}" name="Active (Offline/Online) Status"/>
    <tableColumn id="7" xr3:uid="{00000000-0010-0000-0000-000007000000}" name="Acquisition Priority"/>
    <tableColumn id="8" xr3:uid="{00000000-0010-0000-0000-000008000000}" name="Agreement Term Type"/>
    <tableColumn id="9" xr3:uid="{00000000-0010-0000-0000-000009000000}" name="Column1"/>
    <tableColumn id="10" xr3:uid="{00000000-0010-0000-0000-00000A000000}" name="Column2"/>
    <tableColumn id="11" xr3:uid="{00000000-0010-0000-0000-00000B000000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mailto:test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xyz@geoamps.com" TargetMode="External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X4"/>
  <sheetViews>
    <sheetView topLeftCell="B1" zoomScale="110" zoomScaleNormal="110" workbookViewId="0">
      <selection activeCell="B4" sqref="B4"/>
    </sheetView>
  </sheetViews>
  <sheetFormatPr defaultRowHeight="12.75" x14ac:dyDescent="0.2"/>
  <cols>
    <col min="1" max="1" width="28.42578125" customWidth="1"/>
    <col min="2" max="3" width="23.140625" customWidth="1"/>
    <col min="4" max="4" width="22.42578125" style="7" customWidth="1"/>
    <col min="5" max="5" width="46.42578125" style="7" customWidth="1"/>
    <col min="6" max="6" width="28.42578125" customWidth="1"/>
    <col min="7" max="7" width="27.5703125" style="3" customWidth="1"/>
    <col min="8" max="8" width="24.85546875" bestFit="1" customWidth="1"/>
    <col min="9" max="11" width="16.85546875" style="10" customWidth="1"/>
    <col min="12" max="12" width="20.7109375" style="10" customWidth="1"/>
    <col min="13" max="13" width="27.5703125" style="3" customWidth="1"/>
    <col min="14" max="14" width="13.85546875" customWidth="1"/>
    <col min="15" max="18" width="13.85546875" style="3" customWidth="1"/>
    <col min="19" max="19" width="13.85546875" customWidth="1"/>
    <col min="20" max="20" width="14" customWidth="1"/>
    <col min="21" max="21" width="20.42578125" bestFit="1" customWidth="1"/>
    <col min="22" max="22" width="16.85546875" customWidth="1"/>
    <col min="23" max="23" width="13.140625" customWidth="1"/>
    <col min="24" max="24" width="21.140625" bestFit="1" customWidth="1"/>
  </cols>
  <sheetData>
    <row r="1" spans="1:24" x14ac:dyDescent="0.2">
      <c r="A1" t="s">
        <v>189</v>
      </c>
      <c r="B1" t="s">
        <v>189</v>
      </c>
      <c r="C1" t="s">
        <v>189</v>
      </c>
      <c r="D1" t="s">
        <v>189</v>
      </c>
      <c r="E1" t="s">
        <v>189</v>
      </c>
      <c r="F1" t="s">
        <v>189</v>
      </c>
      <c r="G1" t="s">
        <v>189</v>
      </c>
      <c r="H1" t="s">
        <v>189</v>
      </c>
      <c r="I1" t="s">
        <v>189</v>
      </c>
      <c r="J1" t="s">
        <v>189</v>
      </c>
      <c r="K1" t="s">
        <v>189</v>
      </c>
      <c r="L1" t="s">
        <v>189</v>
      </c>
      <c r="M1" t="s">
        <v>189</v>
      </c>
      <c r="N1" t="s">
        <v>189</v>
      </c>
      <c r="O1" t="s">
        <v>189</v>
      </c>
      <c r="P1" t="s">
        <v>189</v>
      </c>
      <c r="Q1" t="s">
        <v>189</v>
      </c>
      <c r="R1" t="s">
        <v>189</v>
      </c>
      <c r="S1" t="s">
        <v>189</v>
      </c>
      <c r="T1" t="s">
        <v>189</v>
      </c>
      <c r="U1" t="s">
        <v>189</v>
      </c>
      <c r="V1" t="s">
        <v>189</v>
      </c>
      <c r="W1" t="s">
        <v>189</v>
      </c>
      <c r="X1" t="s">
        <v>189</v>
      </c>
    </row>
    <row r="2" spans="1:24" s="8" customFormat="1" ht="39" customHeight="1" x14ac:dyDescent="0.25">
      <c r="A2" s="34" t="s">
        <v>188</v>
      </c>
      <c r="B2" s="35" t="s">
        <v>0</v>
      </c>
      <c r="C2" s="35" t="s">
        <v>1</v>
      </c>
      <c r="D2" s="36" t="s">
        <v>2</v>
      </c>
      <c r="E2" s="36" t="s">
        <v>3</v>
      </c>
      <c r="F2" s="36" t="s">
        <v>4</v>
      </c>
      <c r="G2" s="33" t="s">
        <v>5</v>
      </c>
      <c r="H2" s="12" t="s">
        <v>6</v>
      </c>
      <c r="I2" s="13" t="s">
        <v>7</v>
      </c>
      <c r="J2" s="13" t="s">
        <v>8</v>
      </c>
      <c r="K2" s="13" t="s">
        <v>9</v>
      </c>
      <c r="L2" s="13" t="s">
        <v>10</v>
      </c>
      <c r="M2" s="14" t="s">
        <v>11</v>
      </c>
      <c r="N2" s="31" t="s">
        <v>231</v>
      </c>
      <c r="O2" s="14" t="s">
        <v>12</v>
      </c>
      <c r="P2" s="14" t="s">
        <v>13</v>
      </c>
      <c r="Q2" s="14" t="s">
        <v>14</v>
      </c>
      <c r="R2" s="32" t="s">
        <v>187</v>
      </c>
      <c r="S2" s="12" t="s">
        <v>15</v>
      </c>
      <c r="T2" s="31" t="s">
        <v>186</v>
      </c>
      <c r="U2" s="31" t="s">
        <v>28</v>
      </c>
      <c r="V2" s="11" t="s">
        <v>16</v>
      </c>
      <c r="W2" s="12" t="s">
        <v>17</v>
      </c>
      <c r="X2" s="12" t="s">
        <v>18</v>
      </c>
    </row>
    <row r="3" spans="1:24" x14ac:dyDescent="0.2">
      <c r="A3" t="s">
        <v>216</v>
      </c>
      <c r="B3" t="s">
        <v>269</v>
      </c>
      <c r="C3" t="s">
        <v>69</v>
      </c>
      <c r="D3" s="7" t="s">
        <v>70</v>
      </c>
      <c r="E3" s="7" t="s">
        <v>143</v>
      </c>
      <c r="F3" t="s">
        <v>252</v>
      </c>
      <c r="G3" s="3" t="s">
        <v>215</v>
      </c>
      <c r="H3" t="s">
        <v>86</v>
      </c>
      <c r="I3" s="3" t="s">
        <v>211</v>
      </c>
      <c r="J3" s="3" t="s">
        <v>210</v>
      </c>
      <c r="K3" s="3" t="s">
        <v>209</v>
      </c>
      <c r="L3" s="3" t="s">
        <v>232</v>
      </c>
      <c r="M3" s="3" t="s">
        <v>75</v>
      </c>
      <c r="N3" s="10" t="s">
        <v>198</v>
      </c>
      <c r="O3" s="3" t="s">
        <v>199</v>
      </c>
      <c r="P3" s="3" t="s">
        <v>200</v>
      </c>
      <c r="Q3" s="3" t="s">
        <v>201</v>
      </c>
      <c r="R3" s="3" t="s">
        <v>202</v>
      </c>
      <c r="S3" t="s">
        <v>203</v>
      </c>
      <c r="T3" t="s">
        <v>145</v>
      </c>
      <c r="U3" t="s">
        <v>144</v>
      </c>
      <c r="V3" t="s">
        <v>74</v>
      </c>
      <c r="W3" t="s">
        <v>83</v>
      </c>
      <c r="X3" t="s">
        <v>235</v>
      </c>
    </row>
    <row r="4" spans="1:24" x14ac:dyDescent="0.2">
      <c r="A4" t="s">
        <v>217</v>
      </c>
      <c r="B4" s="41" t="s">
        <v>270</v>
      </c>
      <c r="C4" t="s">
        <v>69</v>
      </c>
      <c r="D4" s="7" t="s">
        <v>85</v>
      </c>
      <c r="E4" s="7" t="s">
        <v>204</v>
      </c>
      <c r="F4" t="s">
        <v>166</v>
      </c>
      <c r="G4" s="28" t="s">
        <v>234</v>
      </c>
      <c r="H4" t="s">
        <v>218</v>
      </c>
      <c r="I4" s="3" t="s">
        <v>212</v>
      </c>
      <c r="J4" s="3" t="s">
        <v>213</v>
      </c>
      <c r="K4" s="3" t="s">
        <v>214</v>
      </c>
      <c r="L4" s="3" t="s">
        <v>233</v>
      </c>
      <c r="M4" s="3" t="s">
        <v>75</v>
      </c>
      <c r="N4" s="10" t="s">
        <v>205</v>
      </c>
      <c r="O4" s="3" t="s">
        <v>206</v>
      </c>
      <c r="P4" s="3" t="s">
        <v>207</v>
      </c>
      <c r="Q4" s="3" t="s">
        <v>208</v>
      </c>
      <c r="R4" s="3" t="s">
        <v>202</v>
      </c>
      <c r="S4" t="s">
        <v>203</v>
      </c>
      <c r="T4" t="s">
        <v>145</v>
      </c>
      <c r="U4" t="s">
        <v>144</v>
      </c>
      <c r="V4" t="s">
        <v>74</v>
      </c>
      <c r="W4" t="s">
        <v>75</v>
      </c>
      <c r="X4" t="s">
        <v>235</v>
      </c>
    </row>
  </sheetData>
  <autoFilter ref="B2:X95" xr:uid="{00000000-0009-0000-0000-000000000000}"/>
  <conditionalFormatting sqref="B2:B3 B5:B1048576">
    <cfRule type="duplicateValues" dxfId="13" priority="5"/>
  </conditionalFormatting>
  <conditionalFormatting sqref="B4">
    <cfRule type="duplicateValues" dxfId="12" priority="1"/>
  </conditionalFormatting>
  <conditionalFormatting sqref="C2">
    <cfRule type="duplicateValues" dxfId="11" priority="4"/>
  </conditionalFormatting>
  <conditionalFormatting sqref="G2">
    <cfRule type="duplicateValues" dxfId="10" priority="3"/>
  </conditionalFormatting>
  <conditionalFormatting sqref="V2">
    <cfRule type="duplicateValues" dxfId="9" priority="2"/>
  </conditionalFormatting>
  <dataValidations count="6">
    <dataValidation type="list" allowBlank="1" showInputMessage="1" showErrorMessage="1" sqref="C3:C1048576" xr:uid="{00000000-0002-0000-0000-000000000000}">
      <formula1>Parcel_Type</formula1>
    </dataValidation>
    <dataValidation type="list" allowBlank="1" showInputMessage="1" showErrorMessage="1" sqref="D3:D1048576" xr:uid="{00000000-0002-0000-0000-000001000000}">
      <formula1>Property_Type</formula1>
    </dataValidation>
    <dataValidation type="list" allowBlank="1" showInputMessage="1" showErrorMessage="1" sqref="H3:H1048576" xr:uid="{00000000-0002-0000-0000-000002000000}">
      <formula1>Agreement_Type</formula1>
    </dataValidation>
    <dataValidation type="list" allowBlank="1" showInputMessage="1" showErrorMessage="1" sqref="V3:V1048576" xr:uid="{00000000-0002-0000-0000-000003000000}">
      <formula1>Active</formula1>
    </dataValidation>
    <dataValidation type="list" allowBlank="1" showInputMessage="1" showErrorMessage="1" sqref="W3:W1048576" xr:uid="{00000000-0002-0000-0000-000004000000}">
      <formula1>Acquisition_Priority</formula1>
    </dataValidation>
    <dataValidation type="list" allowBlank="1" showInputMessage="1" showErrorMessage="1" sqref="X3:X1048576" xr:uid="{00000000-0002-0000-0000-000005000000}">
      <formula1>Status</formula1>
    </dataValidation>
  </dataValidations>
  <pageMargins left="0.75" right="0.75" top="1" bottom="1" header="0.5" footer="0.5"/>
  <pageSetup paperSize="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3"/>
  <sheetViews>
    <sheetView workbookViewId="0">
      <selection activeCell="O9" sqref="O9"/>
    </sheetView>
  </sheetViews>
  <sheetFormatPr defaultRowHeight="12.75" x14ac:dyDescent="0.2"/>
  <cols>
    <col min="1" max="1" width="24.5703125" customWidth="1"/>
    <col min="2" max="2" width="16.5703125" style="3" customWidth="1"/>
    <col min="3" max="3" width="18.140625" customWidth="1"/>
    <col min="4" max="4" width="16.140625" customWidth="1"/>
    <col min="5" max="5" width="18.140625" customWidth="1"/>
    <col min="6" max="6" width="23.140625" customWidth="1"/>
    <col min="7" max="7" width="35.42578125" customWidth="1"/>
    <col min="8" max="8" width="22.140625" customWidth="1"/>
    <col min="9" max="9" width="32.140625" style="9" customWidth="1"/>
    <col min="10" max="11" width="14.85546875" style="9" customWidth="1"/>
    <col min="12" max="12" width="17" style="9" customWidth="1"/>
    <col min="13" max="13" width="16.140625" customWidth="1"/>
    <col min="14" max="14" width="13.140625" bestFit="1" customWidth="1"/>
    <col min="15" max="15" width="16" customWidth="1"/>
    <col min="16" max="16" width="17.140625" customWidth="1"/>
    <col min="17" max="17" width="15.85546875" customWidth="1"/>
    <col min="18" max="18" width="24.85546875" style="9" customWidth="1"/>
    <col min="19" max="21" width="18.5703125" bestFit="1" customWidth="1"/>
    <col min="22" max="22" width="11.5703125" customWidth="1"/>
  </cols>
  <sheetData>
    <row r="1" spans="1:22" x14ac:dyDescent="0.2">
      <c r="A1" t="s">
        <v>189</v>
      </c>
      <c r="B1" s="3" t="s">
        <v>189</v>
      </c>
      <c r="C1" s="3" t="s">
        <v>189</v>
      </c>
      <c r="D1" s="3" t="s">
        <v>189</v>
      </c>
      <c r="E1" s="3" t="s">
        <v>189</v>
      </c>
      <c r="F1" s="3" t="s">
        <v>189</v>
      </c>
      <c r="G1" s="3" t="s">
        <v>189</v>
      </c>
      <c r="H1" s="3" t="s">
        <v>189</v>
      </c>
      <c r="I1" s="3" t="s">
        <v>189</v>
      </c>
      <c r="J1" s="3" t="s">
        <v>189</v>
      </c>
      <c r="K1" s="3" t="s">
        <v>189</v>
      </c>
      <c r="L1" s="3" t="s">
        <v>189</v>
      </c>
      <c r="M1" s="3" t="s">
        <v>189</v>
      </c>
      <c r="N1" s="3" t="s">
        <v>189</v>
      </c>
      <c r="O1" s="3" t="s">
        <v>189</v>
      </c>
      <c r="P1" s="3" t="s">
        <v>189</v>
      </c>
      <c r="Q1" s="3" t="s">
        <v>189</v>
      </c>
      <c r="R1" s="3" t="s">
        <v>189</v>
      </c>
      <c r="S1" s="3" t="s">
        <v>189</v>
      </c>
      <c r="T1" s="3" t="s">
        <v>189</v>
      </c>
      <c r="U1" s="3" t="s">
        <v>189</v>
      </c>
      <c r="V1" s="3" t="s">
        <v>189</v>
      </c>
    </row>
    <row r="2" spans="1:22" s="8" customFormat="1" ht="39" customHeight="1" x14ac:dyDescent="0.25">
      <c r="A2" s="34" t="s">
        <v>188</v>
      </c>
      <c r="B2" s="11" t="s">
        <v>0</v>
      </c>
      <c r="C2" s="12" t="s">
        <v>19</v>
      </c>
      <c r="D2" s="15" t="s">
        <v>20</v>
      </c>
      <c r="E2" s="12" t="s">
        <v>21</v>
      </c>
      <c r="F2" s="15" t="s">
        <v>22</v>
      </c>
      <c r="G2" s="15" t="s">
        <v>192</v>
      </c>
      <c r="H2" s="12" t="s">
        <v>23</v>
      </c>
      <c r="I2" s="12" t="s">
        <v>24</v>
      </c>
      <c r="J2" s="12" t="s">
        <v>25</v>
      </c>
      <c r="K2" s="12" t="s">
        <v>26</v>
      </c>
      <c r="L2" s="12" t="s">
        <v>27</v>
      </c>
      <c r="M2" s="12" t="s">
        <v>28</v>
      </c>
      <c r="N2" s="12" t="s">
        <v>193</v>
      </c>
      <c r="O2" s="12" t="s">
        <v>29</v>
      </c>
      <c r="P2" s="12" t="s">
        <v>30</v>
      </c>
      <c r="Q2" s="12" t="s">
        <v>31</v>
      </c>
      <c r="R2" s="12" t="s">
        <v>32</v>
      </c>
      <c r="S2" s="16" t="s">
        <v>33</v>
      </c>
      <c r="T2" s="14" t="s">
        <v>34</v>
      </c>
      <c r="U2" s="12" t="s">
        <v>35</v>
      </c>
      <c r="V2" s="12" t="s">
        <v>36</v>
      </c>
    </row>
    <row r="3" spans="1:22" x14ac:dyDescent="0.2">
      <c r="A3" t="s">
        <v>219</v>
      </c>
      <c r="B3" s="3" t="s">
        <v>147</v>
      </c>
      <c r="C3" t="s">
        <v>94</v>
      </c>
      <c r="D3" t="s">
        <v>190</v>
      </c>
      <c r="E3" t="s">
        <v>148</v>
      </c>
      <c r="F3" t="s">
        <v>191</v>
      </c>
      <c r="G3" t="s">
        <v>220</v>
      </c>
      <c r="H3" t="s">
        <v>149</v>
      </c>
      <c r="I3" s="9" t="s">
        <v>150</v>
      </c>
      <c r="J3" s="9" t="s">
        <v>151</v>
      </c>
      <c r="K3" s="9" t="s">
        <v>152</v>
      </c>
      <c r="L3" s="9" t="s">
        <v>146</v>
      </c>
      <c r="M3" t="s">
        <v>194</v>
      </c>
      <c r="N3">
        <v>482123</v>
      </c>
      <c r="O3">
        <v>21484212</v>
      </c>
      <c r="P3">
        <v>89484512</v>
      </c>
      <c r="Q3">
        <v>89541</v>
      </c>
      <c r="R3" s="27" t="s">
        <v>153</v>
      </c>
      <c r="S3" s="3" t="s">
        <v>195</v>
      </c>
      <c r="T3" s="3" t="s">
        <v>195</v>
      </c>
      <c r="U3" s="3" t="s">
        <v>195</v>
      </c>
      <c r="V3" t="s">
        <v>215</v>
      </c>
    </row>
  </sheetData>
  <autoFilter ref="B2:V2" xr:uid="{00000000-0009-0000-0000-000001000000}"/>
  <dataValidations count="1">
    <dataValidation type="list" allowBlank="1" showInputMessage="1" showErrorMessage="1" sqref="C5:C1048576 C3" xr:uid="{00000000-0002-0000-0100-000000000000}">
      <formula1>Title_of_Rep</formula1>
    </dataValidation>
  </dataValidations>
  <hyperlinks>
    <hyperlink ref="R3" r:id="rId1" xr:uid="{00000000-0004-0000-0100-000000000000}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E6"/>
  <sheetViews>
    <sheetView zoomScale="96" zoomScaleNormal="96" workbookViewId="0">
      <selection activeCell="D3" sqref="D3:E6"/>
    </sheetView>
  </sheetViews>
  <sheetFormatPr defaultRowHeight="12.75" x14ac:dyDescent="0.2"/>
  <cols>
    <col min="1" max="1" width="31" customWidth="1"/>
    <col min="2" max="2" width="38" style="3" customWidth="1"/>
    <col min="3" max="3" width="38" customWidth="1"/>
    <col min="4" max="5" width="34.5703125" customWidth="1"/>
    <col min="6" max="6" width="22.42578125" customWidth="1"/>
  </cols>
  <sheetData>
    <row r="1" spans="1:5" x14ac:dyDescent="0.2">
      <c r="A1" s="3" t="s">
        <v>189</v>
      </c>
      <c r="B1" s="3" t="s">
        <v>189</v>
      </c>
      <c r="C1" s="3" t="s">
        <v>189</v>
      </c>
      <c r="D1" s="3" t="s">
        <v>189</v>
      </c>
      <c r="E1" s="3" t="s">
        <v>189</v>
      </c>
    </row>
    <row r="2" spans="1:5" s="1" customFormat="1" ht="63" customHeight="1" x14ac:dyDescent="0.25">
      <c r="A2" s="40" t="s">
        <v>188</v>
      </c>
      <c r="B2" s="33" t="s">
        <v>5</v>
      </c>
      <c r="C2" s="11" t="s">
        <v>37</v>
      </c>
      <c r="D2" s="12" t="s">
        <v>6</v>
      </c>
      <c r="E2" s="12" t="s">
        <v>38</v>
      </c>
    </row>
    <row r="3" spans="1:5" x14ac:dyDescent="0.2">
      <c r="A3" t="s">
        <v>221</v>
      </c>
      <c r="B3" s="3" t="s">
        <v>167</v>
      </c>
      <c r="C3" t="s">
        <v>171</v>
      </c>
      <c r="D3" t="s">
        <v>218</v>
      </c>
      <c r="E3" t="s">
        <v>180</v>
      </c>
    </row>
    <row r="4" spans="1:5" x14ac:dyDescent="0.2">
      <c r="A4" t="s">
        <v>222</v>
      </c>
      <c r="B4" s="3" t="s">
        <v>168</v>
      </c>
      <c r="C4" t="s">
        <v>172</v>
      </c>
      <c r="D4" t="s">
        <v>225</v>
      </c>
      <c r="E4" t="s">
        <v>180</v>
      </c>
    </row>
    <row r="5" spans="1:5" x14ac:dyDescent="0.2">
      <c r="A5" t="s">
        <v>223</v>
      </c>
      <c r="B5" s="3" t="s">
        <v>169</v>
      </c>
      <c r="C5" t="s">
        <v>173</v>
      </c>
      <c r="D5" t="s">
        <v>218</v>
      </c>
      <c r="E5" t="s">
        <v>180</v>
      </c>
    </row>
    <row r="6" spans="1:5" x14ac:dyDescent="0.2">
      <c r="A6" t="s">
        <v>224</v>
      </c>
      <c r="B6" s="3" t="s">
        <v>170</v>
      </c>
      <c r="C6" t="s">
        <v>174</v>
      </c>
      <c r="D6" t="s">
        <v>225</v>
      </c>
      <c r="E6" t="s">
        <v>180</v>
      </c>
    </row>
  </sheetData>
  <autoFilter ref="D2:E2" xr:uid="{00000000-0009-0000-0000-000002000000}"/>
  <dataConsolidate/>
  <conditionalFormatting sqref="B2 D2:E2">
    <cfRule type="duplicateValues" dxfId="8" priority="2"/>
  </conditionalFormatting>
  <conditionalFormatting sqref="C2">
    <cfRule type="duplicateValues" dxfId="7" priority="1"/>
  </conditionalFormatting>
  <dataValidations count="3">
    <dataValidation type="list" allowBlank="1" showInputMessage="1" showErrorMessage="1" sqref="D3:D1048576" xr:uid="{00000000-0002-0000-0200-000000000000}">
      <formula1>Agreement_Type</formula1>
    </dataValidation>
    <dataValidation type="list" allowBlank="1" showInputMessage="1" showErrorMessage="1" sqref="E3:E6" xr:uid="{00000000-0002-0000-0200-000001000000}">
      <formula1>Dynamic_Status</formula1>
    </dataValidation>
    <dataValidation type="list" allowBlank="1" showInputMessage="1" showErrorMessage="1" sqref="D3 D5" xr:uid="{00000000-0002-0000-0200-000002000000}">
      <formula1>Dynamic_AgreementType</formula1>
    </dataValidation>
  </dataValidations>
  <pageMargins left="0.7" right="0.7" top="0.75" bottom="0.75" header="0.3" footer="0.3"/>
  <pageSetup paperSize="5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Lists!$D$2:$D$9</xm:f>
          </x14:formula1>
          <xm:sqref>E2 E7:E1048576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C3"/>
  <sheetViews>
    <sheetView tabSelected="1" workbookViewId="0">
      <selection activeCell="C7" sqref="C7"/>
    </sheetView>
  </sheetViews>
  <sheetFormatPr defaultRowHeight="12.75" x14ac:dyDescent="0.2"/>
  <cols>
    <col min="1" max="1" width="31.85546875" customWidth="1"/>
    <col min="2" max="2" width="23.85546875" style="3" customWidth="1"/>
    <col min="3" max="3" width="26.140625" style="3" customWidth="1"/>
  </cols>
  <sheetData>
    <row r="1" spans="1:3" x14ac:dyDescent="0.2">
      <c r="A1" t="s">
        <v>189</v>
      </c>
      <c r="B1" s="3" t="s">
        <v>189</v>
      </c>
      <c r="C1" s="3" t="s">
        <v>189</v>
      </c>
    </row>
    <row r="2" spans="1:3" ht="15.75" customHeight="1" x14ac:dyDescent="0.25">
      <c r="A2" s="39" t="s">
        <v>188</v>
      </c>
      <c r="B2" s="11" t="s">
        <v>5</v>
      </c>
      <c r="C2" s="11" t="s">
        <v>0</v>
      </c>
    </row>
    <row r="3" spans="1:3" x14ac:dyDescent="0.2">
      <c r="A3" t="s">
        <v>226</v>
      </c>
      <c r="B3" s="28" t="s">
        <v>154</v>
      </c>
      <c r="C3" s="41" t="s">
        <v>269</v>
      </c>
    </row>
  </sheetData>
  <conditionalFormatting sqref="B2">
    <cfRule type="duplicateValues" dxfId="6" priority="2"/>
  </conditionalFormatting>
  <conditionalFormatting sqref="C2">
    <cfRule type="duplicateValues" dxfId="5" priority="3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I5"/>
  <sheetViews>
    <sheetView workbookViewId="0">
      <selection activeCell="D20" sqref="D20"/>
    </sheetView>
  </sheetViews>
  <sheetFormatPr defaultColWidth="16.140625" defaultRowHeight="12.75" x14ac:dyDescent="0.2"/>
  <sheetData>
    <row r="1" spans="1:9" x14ac:dyDescent="0.2">
      <c r="A1" s="4" t="s">
        <v>189</v>
      </c>
      <c r="B1" s="42" t="s">
        <v>189</v>
      </c>
      <c r="C1" s="42" t="s">
        <v>189</v>
      </c>
      <c r="D1" s="42" t="s">
        <v>189</v>
      </c>
      <c r="E1" s="42" t="s">
        <v>189</v>
      </c>
      <c r="F1" s="42" t="s">
        <v>189</v>
      </c>
      <c r="G1" s="42" t="s">
        <v>189</v>
      </c>
      <c r="H1" s="42" t="s">
        <v>189</v>
      </c>
      <c r="I1" s="42" t="s">
        <v>189</v>
      </c>
    </row>
    <row r="2" spans="1:9" ht="47.25" x14ac:dyDescent="0.2">
      <c r="A2" s="45" t="s">
        <v>188</v>
      </c>
      <c r="B2" s="46" t="s">
        <v>5</v>
      </c>
      <c r="C2" s="47" t="s">
        <v>39</v>
      </c>
      <c r="D2" s="47" t="s">
        <v>16</v>
      </c>
      <c r="E2" s="47" t="s">
        <v>40</v>
      </c>
      <c r="F2" s="48" t="s">
        <v>236</v>
      </c>
      <c r="G2" s="48" t="s">
        <v>237</v>
      </c>
      <c r="H2" s="48" t="s">
        <v>238</v>
      </c>
      <c r="I2" s="48" t="s">
        <v>41</v>
      </c>
    </row>
    <row r="3" spans="1:9" ht="15" x14ac:dyDescent="0.25">
      <c r="A3" s="4" t="s">
        <v>227</v>
      </c>
      <c r="B3" s="42" t="s">
        <v>167</v>
      </c>
      <c r="C3" s="43" t="s">
        <v>76</v>
      </c>
      <c r="D3" s="43" t="s">
        <v>74</v>
      </c>
      <c r="E3" s="44" t="s">
        <v>239</v>
      </c>
      <c r="F3" s="43">
        <v>2</v>
      </c>
      <c r="G3" s="43">
        <v>2</v>
      </c>
      <c r="H3" s="43">
        <v>2</v>
      </c>
      <c r="I3" s="4" t="s">
        <v>155</v>
      </c>
    </row>
    <row r="4" spans="1:9" ht="15" x14ac:dyDescent="0.25">
      <c r="A4" s="4" t="s">
        <v>228</v>
      </c>
      <c r="B4" s="42" t="s">
        <v>168</v>
      </c>
      <c r="C4" s="43" t="s">
        <v>84</v>
      </c>
      <c r="D4" s="43" t="s">
        <v>74</v>
      </c>
      <c r="E4" s="44" t="s">
        <v>240</v>
      </c>
      <c r="F4" s="43">
        <v>3</v>
      </c>
      <c r="G4" s="43">
        <v>3</v>
      </c>
      <c r="H4" s="43">
        <v>3</v>
      </c>
      <c r="I4" s="4" t="s">
        <v>156</v>
      </c>
    </row>
    <row r="5" spans="1:9" ht="15" x14ac:dyDescent="0.25">
      <c r="A5" s="4" t="s">
        <v>229</v>
      </c>
      <c r="B5" s="42" t="s">
        <v>169</v>
      </c>
      <c r="C5" s="43" t="s">
        <v>90</v>
      </c>
      <c r="D5" s="43" t="s">
        <v>74</v>
      </c>
      <c r="E5" s="44" t="s">
        <v>241</v>
      </c>
      <c r="F5" s="43">
        <v>4</v>
      </c>
      <c r="G5" s="43">
        <v>4</v>
      </c>
      <c r="H5" s="43">
        <v>4</v>
      </c>
      <c r="I5" s="4" t="s">
        <v>157</v>
      </c>
    </row>
  </sheetData>
  <conditionalFormatting sqref="B2:D2 F2:H2">
    <cfRule type="duplicateValues" dxfId="4" priority="3"/>
  </conditionalFormatting>
  <conditionalFormatting sqref="E2">
    <cfRule type="duplicateValues" dxfId="3" priority="2"/>
  </conditionalFormatting>
  <conditionalFormatting sqref="I2">
    <cfRule type="duplicateValues" dxfId="2" priority="1"/>
  </conditionalFormatting>
  <dataValidations count="2">
    <dataValidation type="list" allowBlank="1" showInputMessage="1" showErrorMessage="1" sqref="D3:D5" xr:uid="{00000000-0002-0000-0400-000000000000}">
      <formula1>Active</formula1>
    </dataValidation>
    <dataValidation type="list" allowBlank="1" showInputMessage="1" showErrorMessage="1" sqref="C3:C5" xr:uid="{00000000-0002-0000-0400-000001000000}">
      <formula1>Agreement_Term_Type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X3"/>
  <sheetViews>
    <sheetView topLeftCell="E1" workbookViewId="0">
      <selection activeCell="S17" sqref="S17"/>
    </sheetView>
  </sheetViews>
  <sheetFormatPr defaultRowHeight="12.75" x14ac:dyDescent="0.2"/>
  <cols>
    <col min="1" max="1" width="28.42578125" bestFit="1" customWidth="1"/>
    <col min="2" max="2" width="19.85546875" style="3" bestFit="1" customWidth="1"/>
    <col min="3" max="3" width="31.140625" customWidth="1"/>
    <col min="4" max="4" width="13.85546875" customWidth="1"/>
    <col min="5" max="5" width="25.42578125" customWidth="1"/>
    <col min="6" max="6" width="24.85546875" customWidth="1"/>
    <col min="7" max="7" width="18.140625" bestFit="1" customWidth="1"/>
    <col min="8" max="10" width="31.85546875" customWidth="1"/>
    <col min="11" max="11" width="15.85546875" style="2" customWidth="1"/>
    <col min="12" max="12" width="10.85546875" style="2" bestFit="1" customWidth="1"/>
    <col min="13" max="13" width="13.140625" style="2" customWidth="1"/>
    <col min="14" max="14" width="12.85546875" bestFit="1" customWidth="1"/>
    <col min="15" max="16" width="13.140625" bestFit="1" customWidth="1"/>
    <col min="17" max="17" width="17.85546875" bestFit="1" customWidth="1"/>
    <col min="18" max="18" width="9" bestFit="1" customWidth="1"/>
    <col min="19" max="19" width="16.5703125" customWidth="1"/>
    <col min="20" max="20" width="15.85546875" customWidth="1"/>
    <col min="21" max="21" width="15.140625" customWidth="1"/>
    <col min="22" max="22" width="10.5703125" customWidth="1"/>
    <col min="23" max="23" width="12.7109375" customWidth="1"/>
  </cols>
  <sheetData>
    <row r="1" spans="1:24" x14ac:dyDescent="0.2">
      <c r="A1" t="s">
        <v>189</v>
      </c>
      <c r="B1" t="s">
        <v>189</v>
      </c>
      <c r="C1" t="s">
        <v>189</v>
      </c>
      <c r="D1" t="s">
        <v>189</v>
      </c>
      <c r="E1" t="s">
        <v>189</v>
      </c>
      <c r="F1" t="s">
        <v>189</v>
      </c>
      <c r="G1" t="s">
        <v>189</v>
      </c>
      <c r="H1" t="s">
        <v>189</v>
      </c>
      <c r="I1" t="s">
        <v>189</v>
      </c>
      <c r="J1" t="s">
        <v>189</v>
      </c>
      <c r="K1" t="s">
        <v>189</v>
      </c>
      <c r="L1" t="s">
        <v>189</v>
      </c>
      <c r="M1" t="s">
        <v>189</v>
      </c>
      <c r="N1" t="s">
        <v>189</v>
      </c>
      <c r="O1" t="s">
        <v>189</v>
      </c>
      <c r="P1" t="s">
        <v>189</v>
      </c>
      <c r="Q1" t="s">
        <v>189</v>
      </c>
      <c r="R1" t="s">
        <v>189</v>
      </c>
      <c r="S1" t="s">
        <v>189</v>
      </c>
      <c r="T1" t="s">
        <v>189</v>
      </c>
      <c r="U1" t="s">
        <v>189</v>
      </c>
      <c r="V1" t="s">
        <v>189</v>
      </c>
      <c r="W1" t="s">
        <v>189</v>
      </c>
      <c r="X1" t="s">
        <v>189</v>
      </c>
    </row>
    <row r="2" spans="1:24" s="2" customFormat="1" ht="53.25" customHeight="1" x14ac:dyDescent="0.25">
      <c r="A2" s="37" t="s">
        <v>188</v>
      </c>
      <c r="B2" s="11" t="s">
        <v>5</v>
      </c>
      <c r="C2" s="15" t="s">
        <v>20</v>
      </c>
      <c r="D2" s="12" t="s">
        <v>21</v>
      </c>
      <c r="E2" s="15" t="s">
        <v>22</v>
      </c>
      <c r="F2" s="15" t="s">
        <v>192</v>
      </c>
      <c r="G2" s="12" t="s">
        <v>196</v>
      </c>
      <c r="H2" s="12" t="s">
        <v>24</v>
      </c>
      <c r="I2" s="12" t="s">
        <v>25</v>
      </c>
      <c r="J2" s="12" t="s">
        <v>26</v>
      </c>
      <c r="K2" s="12" t="s">
        <v>27</v>
      </c>
      <c r="L2" s="12" t="s">
        <v>28</v>
      </c>
      <c r="M2" s="12" t="s">
        <v>197</v>
      </c>
      <c r="N2" s="12" t="s">
        <v>31</v>
      </c>
      <c r="O2" s="12" t="s">
        <v>29</v>
      </c>
      <c r="P2" s="12" t="s">
        <v>30</v>
      </c>
      <c r="Q2" s="12" t="s">
        <v>32</v>
      </c>
      <c r="R2" s="12" t="s">
        <v>42</v>
      </c>
      <c r="S2" s="16" t="s">
        <v>33</v>
      </c>
      <c r="T2" s="14" t="s">
        <v>34</v>
      </c>
      <c r="U2" s="12" t="s">
        <v>35</v>
      </c>
      <c r="V2" s="12" t="s">
        <v>243</v>
      </c>
      <c r="W2" s="12" t="s">
        <v>36</v>
      </c>
      <c r="X2" s="49" t="s">
        <v>244</v>
      </c>
    </row>
    <row r="3" spans="1:24" x14ac:dyDescent="0.2">
      <c r="A3" t="s">
        <v>230</v>
      </c>
      <c r="B3" s="3" t="s">
        <v>154</v>
      </c>
      <c r="C3" t="s">
        <v>175</v>
      </c>
      <c r="D3" t="s">
        <v>158</v>
      </c>
      <c r="E3" t="s">
        <v>176</v>
      </c>
      <c r="F3" t="s">
        <v>159</v>
      </c>
      <c r="G3" t="s">
        <v>185</v>
      </c>
      <c r="H3" t="s">
        <v>160</v>
      </c>
      <c r="I3" t="s">
        <v>161</v>
      </c>
      <c r="J3" t="s">
        <v>162</v>
      </c>
      <c r="K3" s="29" t="s">
        <v>163</v>
      </c>
      <c r="L3" s="38" t="s">
        <v>164</v>
      </c>
      <c r="M3" s="2">
        <v>1420</v>
      </c>
      <c r="N3">
        <v>7895263</v>
      </c>
      <c r="O3">
        <v>778899</v>
      </c>
      <c r="P3">
        <v>7896523</v>
      </c>
      <c r="Q3" s="30" t="s">
        <v>165</v>
      </c>
      <c r="R3">
        <v>100</v>
      </c>
      <c r="S3" s="28" t="s">
        <v>242</v>
      </c>
      <c r="T3" s="28" t="s">
        <v>242</v>
      </c>
      <c r="U3" s="28" t="s">
        <v>242</v>
      </c>
      <c r="V3" s="28" t="s">
        <v>245</v>
      </c>
      <c r="W3">
        <v>201</v>
      </c>
      <c r="X3" t="s">
        <v>74</v>
      </c>
    </row>
  </sheetData>
  <phoneticPr fontId="16" type="noConversion"/>
  <conditionalFormatting sqref="C2">
    <cfRule type="duplicateValues" dxfId="1" priority="2"/>
  </conditionalFormatting>
  <conditionalFormatting sqref="D2:F2">
    <cfRule type="duplicateValues" dxfId="0" priority="1"/>
  </conditionalFormatting>
  <hyperlinks>
    <hyperlink ref="Q3" r:id="rId1" xr:uid="{00000000-0004-0000-0500-000000000000}"/>
  </hyperlinks>
  <pageMargins left="0.7" right="0.7" top="0.75" bottom="0.75" header="0.3" footer="0.3"/>
  <pageSetup paperSize="5" orientation="landscape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F0B1-84A3-4DA4-80CF-18460C1C0A58}">
  <dimension ref="A1:F3"/>
  <sheetViews>
    <sheetView workbookViewId="0">
      <selection activeCell="F14" sqref="F14"/>
    </sheetView>
  </sheetViews>
  <sheetFormatPr defaultRowHeight="12.75" x14ac:dyDescent="0.2"/>
  <cols>
    <col min="1" max="1" width="34.140625" bestFit="1" customWidth="1"/>
    <col min="2" max="3" width="18.28515625" bestFit="1" customWidth="1"/>
    <col min="4" max="4" width="13.42578125" bestFit="1" customWidth="1"/>
    <col min="5" max="5" width="10.7109375" bestFit="1" customWidth="1"/>
    <col min="6" max="6" width="10.28515625" bestFit="1" customWidth="1"/>
  </cols>
  <sheetData>
    <row r="1" spans="1:6" x14ac:dyDescent="0.2">
      <c r="A1" t="s">
        <v>189</v>
      </c>
      <c r="B1" t="s">
        <v>189</v>
      </c>
      <c r="C1" t="s">
        <v>189</v>
      </c>
      <c r="D1" t="s">
        <v>189</v>
      </c>
      <c r="E1" t="s">
        <v>189</v>
      </c>
      <c r="F1" t="s">
        <v>189</v>
      </c>
    </row>
    <row r="2" spans="1:6" ht="31.5" x14ac:dyDescent="0.2">
      <c r="A2" s="50" t="s">
        <v>188</v>
      </c>
      <c r="B2" s="51" t="s">
        <v>5</v>
      </c>
      <c r="C2" s="51" t="s">
        <v>246</v>
      </c>
      <c r="D2" s="52" t="s">
        <v>247</v>
      </c>
      <c r="E2" s="52" t="s">
        <v>248</v>
      </c>
      <c r="F2" s="52" t="s">
        <v>54</v>
      </c>
    </row>
    <row r="3" spans="1:6" x14ac:dyDescent="0.2">
      <c r="A3" s="53" t="s">
        <v>251</v>
      </c>
      <c r="B3" s="54" t="s">
        <v>154</v>
      </c>
      <c r="C3" s="54" t="s">
        <v>249</v>
      </c>
      <c r="D3" s="55" t="s">
        <v>215</v>
      </c>
      <c r="E3" s="56" t="s">
        <v>253</v>
      </c>
      <c r="F3" s="54" t="s">
        <v>250</v>
      </c>
    </row>
  </sheetData>
  <dataValidations count="1">
    <dataValidation type="list" allowBlank="1" showInputMessage="1" showErrorMessage="1" sqref="C3" xr:uid="{84A41E63-F983-4C46-84FF-5CF6F2A9CC39}">
      <formula1>MilestoneDateName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AAB1-E64A-4B59-B0E4-813F0F4683FB}">
  <dimension ref="A1:L3"/>
  <sheetViews>
    <sheetView workbookViewId="0">
      <selection activeCell="C7" sqref="C7"/>
    </sheetView>
  </sheetViews>
  <sheetFormatPr defaultColWidth="24.85546875" defaultRowHeight="12.75" x14ac:dyDescent="0.2"/>
  <cols>
    <col min="1" max="1" width="27.7109375" customWidth="1"/>
    <col min="2" max="2" width="15" bestFit="1" customWidth="1"/>
    <col min="3" max="3" width="17.85546875" bestFit="1" customWidth="1"/>
    <col min="4" max="4" width="18.42578125" bestFit="1" customWidth="1"/>
    <col min="5" max="5" width="10" bestFit="1" customWidth="1"/>
    <col min="6" max="6" width="16.7109375" bestFit="1" customWidth="1"/>
    <col min="7" max="7" width="10.140625" bestFit="1" customWidth="1"/>
    <col min="8" max="8" width="15.42578125" bestFit="1" customWidth="1"/>
    <col min="9" max="9" width="11.85546875" bestFit="1" customWidth="1"/>
    <col min="10" max="10" width="8.5703125" bestFit="1" customWidth="1"/>
    <col min="11" max="11" width="11.28515625" bestFit="1" customWidth="1"/>
    <col min="12" max="12" width="13.5703125" bestFit="1" customWidth="1"/>
  </cols>
  <sheetData>
    <row r="1" spans="1:12" x14ac:dyDescent="0.2">
      <c r="A1" s="4" t="s">
        <v>189</v>
      </c>
      <c r="B1" s="4" t="s">
        <v>189</v>
      </c>
      <c r="C1" s="4" t="s">
        <v>189</v>
      </c>
      <c r="D1" s="4" t="s">
        <v>189</v>
      </c>
      <c r="E1" s="4" t="s">
        <v>189</v>
      </c>
      <c r="F1" s="4" t="s">
        <v>189</v>
      </c>
      <c r="G1" s="4" t="s">
        <v>189</v>
      </c>
      <c r="H1" s="4" t="s">
        <v>189</v>
      </c>
      <c r="I1" s="4" t="s">
        <v>189</v>
      </c>
      <c r="J1" s="4" t="s">
        <v>189</v>
      </c>
      <c r="K1" s="4" t="s">
        <v>189</v>
      </c>
      <c r="L1" s="4" t="s">
        <v>189</v>
      </c>
    </row>
    <row r="2" spans="1:12" ht="15.75" x14ac:dyDescent="0.2">
      <c r="A2" s="57" t="s">
        <v>188</v>
      </c>
      <c r="B2" s="58" t="s">
        <v>43</v>
      </c>
      <c r="C2" s="58" t="s">
        <v>254</v>
      </c>
      <c r="D2" s="58" t="s">
        <v>255</v>
      </c>
      <c r="E2" s="58" t="s">
        <v>256</v>
      </c>
      <c r="F2" s="58" t="s">
        <v>257</v>
      </c>
      <c r="G2" s="59" t="s">
        <v>258</v>
      </c>
      <c r="H2" s="59" t="s">
        <v>259</v>
      </c>
      <c r="I2" s="59" t="s">
        <v>260</v>
      </c>
      <c r="J2" s="58" t="s">
        <v>18</v>
      </c>
      <c r="K2" s="59" t="s">
        <v>54</v>
      </c>
      <c r="L2" s="59" t="s">
        <v>261</v>
      </c>
    </row>
    <row r="3" spans="1:12" x14ac:dyDescent="0.2">
      <c r="A3" s="4" t="s">
        <v>268</v>
      </c>
      <c r="B3" s="60" t="s">
        <v>154</v>
      </c>
      <c r="C3" s="61" t="s">
        <v>267</v>
      </c>
      <c r="D3" s="61" t="s">
        <v>76</v>
      </c>
      <c r="E3" s="62" t="s">
        <v>253</v>
      </c>
      <c r="F3" s="61" t="s">
        <v>262</v>
      </c>
      <c r="G3" s="61">
        <v>259876501</v>
      </c>
      <c r="H3" s="62" t="s">
        <v>263</v>
      </c>
      <c r="I3" s="62" t="s">
        <v>264</v>
      </c>
      <c r="J3" s="61" t="s">
        <v>265</v>
      </c>
      <c r="K3" s="61" t="s">
        <v>266</v>
      </c>
      <c r="L3" s="61">
        <v>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A1:E87"/>
  <sheetViews>
    <sheetView workbookViewId="0">
      <selection activeCell="A24" sqref="A24"/>
    </sheetView>
  </sheetViews>
  <sheetFormatPr defaultRowHeight="14.25" x14ac:dyDescent="0.2"/>
  <cols>
    <col min="1" max="1" width="30.140625" customWidth="1"/>
    <col min="2" max="2" width="15.140625" style="18" customWidth="1"/>
    <col min="3" max="4" width="15.85546875" style="19" customWidth="1"/>
    <col min="5" max="5" width="19.85546875" style="20" customWidth="1"/>
  </cols>
  <sheetData>
    <row r="1" spans="1:5" ht="43.5" customHeight="1" thickBot="1" x14ac:dyDescent="0.25">
      <c r="A1" s="21" t="s">
        <v>43</v>
      </c>
      <c r="B1" s="22" t="s">
        <v>44</v>
      </c>
      <c r="C1" s="23" t="s">
        <v>45</v>
      </c>
      <c r="D1" s="23" t="s">
        <v>46</v>
      </c>
      <c r="E1" s="23" t="s">
        <v>47</v>
      </c>
    </row>
    <row r="2" spans="1:5" ht="15" customHeight="1" x14ac:dyDescent="0.25">
      <c r="A2" s="17" t="s">
        <v>48</v>
      </c>
    </row>
    <row r="3" spans="1:5" ht="15" customHeight="1" x14ac:dyDescent="0.25">
      <c r="A3" s="17"/>
    </row>
    <row r="4" spans="1:5" ht="15" customHeight="1" x14ac:dyDescent="0.25">
      <c r="A4" s="17"/>
    </row>
    <row r="5" spans="1:5" ht="15" customHeight="1" x14ac:dyDescent="0.25">
      <c r="A5" s="17"/>
    </row>
    <row r="6" spans="1:5" ht="15" customHeight="1" x14ac:dyDescent="0.25">
      <c r="A6" s="17"/>
    </row>
    <row r="7" spans="1:5" ht="15" customHeight="1" x14ac:dyDescent="0.25">
      <c r="A7" s="17"/>
    </row>
    <row r="8" spans="1:5" ht="15" customHeight="1" x14ac:dyDescent="0.25">
      <c r="A8" s="17"/>
    </row>
    <row r="9" spans="1:5" ht="15" customHeight="1" x14ac:dyDescent="0.25">
      <c r="A9" s="17"/>
    </row>
    <row r="10" spans="1:5" ht="15" customHeight="1" x14ac:dyDescent="0.25">
      <c r="A10" s="17"/>
    </row>
    <row r="11" spans="1:5" ht="15" customHeight="1" x14ac:dyDescent="0.25">
      <c r="A11" s="17"/>
    </row>
    <row r="12" spans="1:5" ht="15" customHeight="1" x14ac:dyDescent="0.25">
      <c r="A12" s="17"/>
    </row>
    <row r="13" spans="1:5" ht="15" customHeight="1" x14ac:dyDescent="0.25">
      <c r="A13" s="17"/>
    </row>
    <row r="14" spans="1:5" ht="15" customHeight="1" x14ac:dyDescent="0.25">
      <c r="A14" s="17"/>
    </row>
    <row r="15" spans="1:5" ht="15" customHeight="1" x14ac:dyDescent="0.25">
      <c r="A15" s="17"/>
    </row>
    <row r="16" spans="1:5" ht="15" customHeight="1" x14ac:dyDescent="0.25">
      <c r="A16" s="17"/>
    </row>
    <row r="17" spans="1:1" ht="15" customHeight="1" x14ac:dyDescent="0.25">
      <c r="A17" s="17"/>
    </row>
    <row r="18" spans="1:1" ht="15" customHeight="1" x14ac:dyDescent="0.25">
      <c r="A18" s="17"/>
    </row>
    <row r="19" spans="1:1" ht="15" customHeight="1" x14ac:dyDescent="0.25">
      <c r="A19" s="17"/>
    </row>
    <row r="20" spans="1:1" ht="15" customHeight="1" x14ac:dyDescent="0.25">
      <c r="A20" s="17"/>
    </row>
    <row r="21" spans="1:1" ht="15" customHeight="1" x14ac:dyDescent="0.25">
      <c r="A21" s="17"/>
    </row>
    <row r="22" spans="1:1" ht="15" customHeight="1" x14ac:dyDescent="0.25">
      <c r="A22" s="17"/>
    </row>
    <row r="23" spans="1:1" ht="15" customHeight="1" x14ac:dyDescent="0.25">
      <c r="A23" s="17"/>
    </row>
    <row r="24" spans="1:1" ht="15" customHeight="1" x14ac:dyDescent="0.25">
      <c r="A24" s="17"/>
    </row>
    <row r="25" spans="1:1" ht="15" customHeight="1" x14ac:dyDescent="0.25">
      <c r="A25" s="17"/>
    </row>
    <row r="26" spans="1:1" ht="15" customHeight="1" x14ac:dyDescent="0.25">
      <c r="A26" s="17"/>
    </row>
    <row r="27" spans="1:1" ht="15" customHeight="1" x14ac:dyDescent="0.25">
      <c r="A27" s="17"/>
    </row>
    <row r="28" spans="1:1" ht="15" customHeight="1" x14ac:dyDescent="0.25">
      <c r="A28" s="17"/>
    </row>
    <row r="29" spans="1:1" ht="15" customHeight="1" x14ac:dyDescent="0.25">
      <c r="A29" s="17"/>
    </row>
    <row r="30" spans="1:1" ht="15" customHeight="1" x14ac:dyDescent="0.25">
      <c r="A30" s="17"/>
    </row>
    <row r="31" spans="1:1" ht="15" customHeight="1" x14ac:dyDescent="0.25">
      <c r="A31" s="17"/>
    </row>
    <row r="32" spans="1:1" ht="15" customHeight="1" x14ac:dyDescent="0.25">
      <c r="A32" s="17"/>
    </row>
    <row r="33" spans="1:1" ht="15" customHeight="1" x14ac:dyDescent="0.25">
      <c r="A33" s="17"/>
    </row>
    <row r="34" spans="1:1" ht="15" customHeight="1" x14ac:dyDescent="0.25">
      <c r="A34" s="17"/>
    </row>
    <row r="35" spans="1:1" ht="15" customHeight="1" x14ac:dyDescent="0.25">
      <c r="A35" s="17"/>
    </row>
    <row r="36" spans="1:1" ht="15" customHeight="1" x14ac:dyDescent="0.25">
      <c r="A36" s="17"/>
    </row>
    <row r="37" spans="1:1" ht="15" customHeight="1" x14ac:dyDescent="0.25">
      <c r="A37" s="17"/>
    </row>
    <row r="38" spans="1:1" ht="15" customHeight="1" x14ac:dyDescent="0.25">
      <c r="A38" s="17"/>
    </row>
    <row r="39" spans="1:1" ht="15" customHeight="1" x14ac:dyDescent="0.25">
      <c r="A39" s="17"/>
    </row>
    <row r="40" spans="1:1" ht="15" customHeight="1" x14ac:dyDescent="0.25">
      <c r="A40" s="17"/>
    </row>
    <row r="41" spans="1:1" ht="15" customHeight="1" x14ac:dyDescent="0.25">
      <c r="A41" s="17"/>
    </row>
    <row r="42" spans="1:1" ht="15" customHeight="1" x14ac:dyDescent="0.25">
      <c r="A42" s="17"/>
    </row>
    <row r="43" spans="1:1" ht="15" customHeight="1" x14ac:dyDescent="0.25">
      <c r="A43" s="17"/>
    </row>
    <row r="44" spans="1:1" ht="15" customHeight="1" x14ac:dyDescent="0.25">
      <c r="A44" s="17"/>
    </row>
    <row r="45" spans="1:1" ht="15" customHeight="1" x14ac:dyDescent="0.25">
      <c r="A45" s="17"/>
    </row>
    <row r="46" spans="1:1" ht="15" customHeight="1" x14ac:dyDescent="0.25">
      <c r="A46" s="17"/>
    </row>
    <row r="47" spans="1:1" ht="15" customHeight="1" x14ac:dyDescent="0.25">
      <c r="A47" s="17"/>
    </row>
    <row r="48" spans="1:1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  <row r="84" spans="1:1" ht="15" customHeight="1" x14ac:dyDescent="0.25">
      <c r="A84" s="17"/>
    </row>
    <row r="85" spans="1:1" ht="15" customHeight="1" x14ac:dyDescent="0.25">
      <c r="A85" s="17"/>
    </row>
    <row r="86" spans="1:1" ht="15" customHeight="1" x14ac:dyDescent="0.25">
      <c r="A86" s="17"/>
    </row>
    <row r="87" spans="1:1" ht="15" customHeight="1" x14ac:dyDescent="0.25">
      <c r="A87" s="1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'40. Agreement Data'!#REF!</xm:f>
          </x14:formula1>
          <xm:sqref>A1 A115:A1048576 A15:A87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/>
  </sheetPr>
  <dimension ref="C1:H10"/>
  <sheetViews>
    <sheetView workbookViewId="0">
      <selection activeCell="H4" sqref="H4"/>
    </sheetView>
  </sheetViews>
  <sheetFormatPr defaultRowHeight="12.75" x14ac:dyDescent="0.2"/>
  <cols>
    <col min="1" max="2" width="9.140625" customWidth="1"/>
    <col min="3" max="3" width="24.140625" customWidth="1"/>
    <col min="4" max="4" width="16.42578125" customWidth="1"/>
    <col min="5" max="5" width="17.42578125" customWidth="1"/>
    <col min="6" max="6" width="53.42578125" customWidth="1"/>
    <col min="7" max="7" width="9.140625" customWidth="1"/>
    <col min="8" max="8" width="9.140625" style="3" customWidth="1"/>
  </cols>
  <sheetData>
    <row r="1" spans="3:8" x14ac:dyDescent="0.2">
      <c r="H1" s="3" t="s">
        <v>49</v>
      </c>
    </row>
    <row r="2" spans="3:8" x14ac:dyDescent="0.2">
      <c r="H2" s="3" t="s">
        <v>50</v>
      </c>
    </row>
    <row r="3" spans="3:8" x14ac:dyDescent="0.2">
      <c r="H3" s="3" t="s">
        <v>51</v>
      </c>
    </row>
    <row r="4" spans="3:8" x14ac:dyDescent="0.2">
      <c r="C4" s="4"/>
      <c r="D4" s="6" t="s">
        <v>52</v>
      </c>
      <c r="E4" s="6" t="s">
        <v>53</v>
      </c>
      <c r="F4" s="6" t="s">
        <v>54</v>
      </c>
      <c r="H4"/>
    </row>
    <row r="5" spans="3:8" x14ac:dyDescent="0.2">
      <c r="C5" s="24" t="s">
        <v>55</v>
      </c>
      <c r="D5" s="5" t="s">
        <v>56</v>
      </c>
      <c r="E5" s="5" t="s">
        <v>56</v>
      </c>
      <c r="F5" s="4"/>
    </row>
    <row r="6" spans="3:8" x14ac:dyDescent="0.2">
      <c r="C6" s="4" t="s">
        <v>57</v>
      </c>
      <c r="D6" s="5" t="s">
        <v>58</v>
      </c>
      <c r="E6" s="5" t="s">
        <v>58</v>
      </c>
      <c r="F6" s="4"/>
    </row>
    <row r="7" spans="3:8" x14ac:dyDescent="0.2">
      <c r="C7" s="25" t="s">
        <v>59</v>
      </c>
      <c r="D7" s="5" t="s">
        <v>60</v>
      </c>
      <c r="E7" s="5" t="s">
        <v>60</v>
      </c>
      <c r="F7" s="4"/>
    </row>
    <row r="8" spans="3:8" x14ac:dyDescent="0.2">
      <c r="C8" s="25" t="s">
        <v>61</v>
      </c>
      <c r="D8" s="5" t="s">
        <v>60</v>
      </c>
      <c r="E8" s="5" t="s">
        <v>60</v>
      </c>
      <c r="F8" s="4"/>
    </row>
    <row r="9" spans="3:8" x14ac:dyDescent="0.2">
      <c r="C9" s="26" t="s">
        <v>62</v>
      </c>
      <c r="D9" s="5" t="s">
        <v>60</v>
      </c>
      <c r="E9" s="5" t="s">
        <v>56</v>
      </c>
      <c r="F9" s="4"/>
    </row>
    <row r="10" spans="3:8" x14ac:dyDescent="0.2">
      <c r="C10" s="26" t="s">
        <v>63</v>
      </c>
      <c r="D10" s="5" t="s">
        <v>60</v>
      </c>
      <c r="E10" s="5" t="s">
        <v>56</v>
      </c>
      <c r="F10" s="4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0"/>
  <sheetViews>
    <sheetView topLeftCell="A7" zoomScaleNormal="100" workbookViewId="0">
      <selection activeCell="E28" sqref="E28"/>
    </sheetView>
  </sheetViews>
  <sheetFormatPr defaultRowHeight="12.75" x14ac:dyDescent="0.2"/>
  <cols>
    <col min="1" max="1" width="14.42578125" customWidth="1"/>
    <col min="2" max="2" width="16.5703125" customWidth="1"/>
    <col min="3" max="3" width="40.7109375" customWidth="1"/>
    <col min="4" max="4" width="22.42578125" customWidth="1"/>
    <col min="5" max="5" width="18.140625" customWidth="1"/>
    <col min="6" max="6" width="29.5703125" customWidth="1"/>
    <col min="7" max="7" width="20.7109375" customWidth="1"/>
    <col min="8" max="8" width="23.5703125" customWidth="1"/>
    <col min="9" max="11" width="12.140625" customWidth="1"/>
  </cols>
  <sheetData>
    <row r="1" spans="1:11" x14ac:dyDescent="0.2">
      <c r="A1" t="s">
        <v>1</v>
      </c>
      <c r="B1" t="s">
        <v>2</v>
      </c>
      <c r="C1" t="s">
        <v>6</v>
      </c>
      <c r="D1" t="s">
        <v>18</v>
      </c>
      <c r="E1" t="s">
        <v>64</v>
      </c>
      <c r="F1" t="s">
        <v>65</v>
      </c>
      <c r="G1" t="s">
        <v>17</v>
      </c>
      <c r="H1" t="s">
        <v>39</v>
      </c>
      <c r="I1" t="s">
        <v>66</v>
      </c>
      <c r="J1" t="s">
        <v>67</v>
      </c>
      <c r="K1" t="s">
        <v>68</v>
      </c>
    </row>
    <row r="2" spans="1:11" x14ac:dyDescent="0.2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</row>
    <row r="3" spans="1:11" x14ac:dyDescent="0.2">
      <c r="A3" t="s">
        <v>77</v>
      </c>
      <c r="B3" t="s">
        <v>78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  <c r="H3" t="s">
        <v>84</v>
      </c>
    </row>
    <row r="4" spans="1:11" x14ac:dyDescent="0.2">
      <c r="B4" t="s">
        <v>85</v>
      </c>
      <c r="C4" t="s">
        <v>86</v>
      </c>
      <c r="D4" t="s">
        <v>87</v>
      </c>
      <c r="E4" t="s">
        <v>88</v>
      </c>
      <c r="G4" t="s">
        <v>89</v>
      </c>
      <c r="H4" t="s">
        <v>90</v>
      </c>
    </row>
    <row r="5" spans="1:11" x14ac:dyDescent="0.2">
      <c r="B5" t="s">
        <v>91</v>
      </c>
      <c r="C5" t="s">
        <v>92</v>
      </c>
      <c r="D5" t="s">
        <v>93</v>
      </c>
      <c r="E5" t="s">
        <v>94</v>
      </c>
    </row>
    <row r="6" spans="1:11" x14ac:dyDescent="0.2">
      <c r="B6" t="s">
        <v>95</v>
      </c>
      <c r="C6" t="s">
        <v>96</v>
      </c>
      <c r="D6" t="s">
        <v>97</v>
      </c>
      <c r="E6" t="s">
        <v>98</v>
      </c>
    </row>
    <row r="7" spans="1:11" x14ac:dyDescent="0.2">
      <c r="B7" t="s">
        <v>99</v>
      </c>
      <c r="C7" t="s">
        <v>100</v>
      </c>
      <c r="D7" t="s">
        <v>101</v>
      </c>
      <c r="E7" t="s">
        <v>102</v>
      </c>
    </row>
    <row r="8" spans="1:11" x14ac:dyDescent="0.2">
      <c r="B8" t="s">
        <v>103</v>
      </c>
      <c r="C8" t="s">
        <v>104</v>
      </c>
      <c r="D8" t="s">
        <v>105</v>
      </c>
      <c r="E8" t="s">
        <v>106</v>
      </c>
    </row>
    <row r="9" spans="1:11" x14ac:dyDescent="0.2">
      <c r="B9" t="s">
        <v>69</v>
      </c>
      <c r="C9" t="s">
        <v>107</v>
      </c>
      <c r="D9" t="s">
        <v>108</v>
      </c>
      <c r="E9" t="s">
        <v>109</v>
      </c>
    </row>
    <row r="10" spans="1:11" x14ac:dyDescent="0.2">
      <c r="B10" t="s">
        <v>110</v>
      </c>
      <c r="C10" t="s">
        <v>111</v>
      </c>
      <c r="D10" t="s">
        <v>112</v>
      </c>
      <c r="E10" t="s">
        <v>113</v>
      </c>
    </row>
    <row r="11" spans="1:11" x14ac:dyDescent="0.2">
      <c r="B11" t="s">
        <v>114</v>
      </c>
      <c r="C11" t="s">
        <v>115</v>
      </c>
      <c r="D11" t="s">
        <v>178</v>
      </c>
      <c r="E11" t="s">
        <v>116</v>
      </c>
    </row>
    <row r="12" spans="1:11" x14ac:dyDescent="0.2">
      <c r="B12" t="s">
        <v>117</v>
      </c>
      <c r="C12" t="s">
        <v>118</v>
      </c>
      <c r="D12" t="s">
        <v>179</v>
      </c>
      <c r="E12" t="s">
        <v>119</v>
      </c>
    </row>
    <row r="13" spans="1:11" x14ac:dyDescent="0.2">
      <c r="C13" t="s">
        <v>120</v>
      </c>
      <c r="D13" t="s">
        <v>180</v>
      </c>
      <c r="E13" t="s">
        <v>121</v>
      </c>
    </row>
    <row r="14" spans="1:11" x14ac:dyDescent="0.2">
      <c r="C14" t="s">
        <v>122</v>
      </c>
      <c r="E14" t="s">
        <v>123</v>
      </c>
    </row>
    <row r="15" spans="1:11" x14ac:dyDescent="0.2">
      <c r="C15" t="s">
        <v>124</v>
      </c>
      <c r="E15" t="s">
        <v>125</v>
      </c>
    </row>
    <row r="16" spans="1:11" x14ac:dyDescent="0.2">
      <c r="C16" t="s">
        <v>126</v>
      </c>
      <c r="E16" t="s">
        <v>127</v>
      </c>
    </row>
    <row r="17" spans="3:5" x14ac:dyDescent="0.2">
      <c r="C17" t="s">
        <v>128</v>
      </c>
      <c r="E17" t="s">
        <v>129</v>
      </c>
    </row>
    <row r="18" spans="3:5" x14ac:dyDescent="0.2">
      <c r="C18" t="s">
        <v>181</v>
      </c>
      <c r="E18" t="s">
        <v>130</v>
      </c>
    </row>
    <row r="19" spans="3:5" x14ac:dyDescent="0.2">
      <c r="C19" t="s">
        <v>182</v>
      </c>
      <c r="E19" t="s">
        <v>131</v>
      </c>
    </row>
    <row r="20" spans="3:5" x14ac:dyDescent="0.2">
      <c r="C20" t="s">
        <v>183</v>
      </c>
      <c r="E20" t="s">
        <v>132</v>
      </c>
    </row>
    <row r="21" spans="3:5" x14ac:dyDescent="0.2">
      <c r="C21" t="s">
        <v>184</v>
      </c>
      <c r="E21" t="s">
        <v>133</v>
      </c>
    </row>
    <row r="22" spans="3:5" x14ac:dyDescent="0.2">
      <c r="C22" t="s">
        <v>177</v>
      </c>
      <c r="E22" t="s">
        <v>134</v>
      </c>
    </row>
    <row r="23" spans="3:5" x14ac:dyDescent="0.2">
      <c r="E23" t="s">
        <v>135</v>
      </c>
    </row>
    <row r="24" spans="3:5" x14ac:dyDescent="0.2">
      <c r="E24" t="s">
        <v>136</v>
      </c>
    </row>
    <row r="25" spans="3:5" x14ac:dyDescent="0.2">
      <c r="E25" t="s">
        <v>137</v>
      </c>
    </row>
    <row r="26" spans="3:5" x14ac:dyDescent="0.2">
      <c r="E26" t="s">
        <v>138</v>
      </c>
    </row>
    <row r="27" spans="3:5" x14ac:dyDescent="0.2">
      <c r="E27" t="s">
        <v>139</v>
      </c>
    </row>
    <row r="28" spans="3:5" x14ac:dyDescent="0.2">
      <c r="E28" t="s">
        <v>140</v>
      </c>
    </row>
    <row r="29" spans="3:5" x14ac:dyDescent="0.2">
      <c r="E29" t="s">
        <v>141</v>
      </c>
    </row>
    <row r="30" spans="3:5" x14ac:dyDescent="0.2">
      <c r="E30" t="s">
        <v>142</v>
      </c>
    </row>
  </sheetData>
  <dataValidations count="2">
    <dataValidation type="list" allowBlank="1" showInputMessage="1" showErrorMessage="1" sqref="D11:D14" xr:uid="{00000000-0002-0000-0800-000000000000}">
      <formula1>$D$2:$D$9</formula1>
    </dataValidation>
    <dataValidation type="list" allowBlank="1" showInputMessage="1" showErrorMessage="1" sqref="C18:C21" xr:uid="{00000000-0002-0000-0800-000001000000}">
      <formula1>Agreement_Type</formula1>
    </dataValidation>
  </dataValidations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23</Page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10. Land Data</vt:lpstr>
      <vt:lpstr>20. Parcel Owners</vt:lpstr>
      <vt:lpstr>40. Agreement Data</vt:lpstr>
      <vt:lpstr>50. Agreement Parcels</vt:lpstr>
      <vt:lpstr>60. Agreement Terms</vt:lpstr>
      <vt:lpstr>80. Agreement Contacts</vt:lpstr>
      <vt:lpstr>160. Agreement Milestone Dates</vt:lpstr>
      <vt:lpstr>60. Payment History</vt:lpstr>
      <vt:lpstr>06. Payment History</vt:lpstr>
      <vt:lpstr>Index</vt:lpstr>
      <vt:lpstr>Lists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Chetan Agrawal</cp:lastModifiedBy>
  <dcterms:created xsi:type="dcterms:W3CDTF">2012-11-20T15:13:00Z</dcterms:created>
  <dcterms:modified xsi:type="dcterms:W3CDTF">2025-09-05T15:19:07Z</dcterms:modified>
  <cp:version>23.12.785.07220055</cp:version>
</cp:coreProperties>
</file>